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dministrator\Desktop\"/>
    </mc:Choice>
  </mc:AlternateContent>
  <bookViews>
    <workbookView xWindow="0" yWindow="0" windowWidth="20490" windowHeight="7755" activeTab="2"/>
  </bookViews>
  <sheets>
    <sheet name="Sheet3" sheetId="3" r:id="rId1"/>
    <sheet name="Sheet2" sheetId="2" r:id="rId2"/>
    <sheet name="Sheet1" sheetId="1" r:id="rId3"/>
  </sheets>
  <definedNames>
    <definedName name="Slicer_Product">#N/A</definedName>
  </definedNames>
  <calcPr calcId="152511"/>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 i="1" l="1"/>
  <c r="K3" i="1"/>
  <c r="K4" i="1"/>
  <c r="K5" i="1"/>
  <c r="K6" i="1"/>
  <c r="K7" i="1"/>
  <c r="K8" i="1"/>
  <c r="K9" i="1"/>
  <c r="K10" i="1"/>
  <c r="K11" i="1"/>
  <c r="J3" i="1"/>
  <c r="J4" i="1"/>
  <c r="J5" i="1"/>
  <c r="J6" i="1"/>
  <c r="J7" i="1"/>
  <c r="J8" i="1"/>
  <c r="J9" i="1"/>
  <c r="J10" i="1"/>
  <c r="J11" i="1"/>
  <c r="J2" i="1"/>
</calcChain>
</file>

<file path=xl/sharedStrings.xml><?xml version="1.0" encoding="utf-8"?>
<sst xmlns="http://schemas.openxmlformats.org/spreadsheetml/2006/main" count="69" uniqueCount="47">
  <si>
    <t>Transaction ID</t>
  </si>
  <si>
    <t xml:space="preserve">Date </t>
  </si>
  <si>
    <t>Product Category</t>
  </si>
  <si>
    <t xml:space="preserve">Product </t>
  </si>
  <si>
    <t xml:space="preserve">Region </t>
  </si>
  <si>
    <t>Salesperson</t>
  </si>
  <si>
    <t xml:space="preserve">Units Sold </t>
  </si>
  <si>
    <t>Unit Price</t>
  </si>
  <si>
    <t>Total Cost</t>
  </si>
  <si>
    <t>Electronics</t>
  </si>
  <si>
    <t>Furniture</t>
  </si>
  <si>
    <t>Clothing</t>
  </si>
  <si>
    <t>Home Appliances</t>
  </si>
  <si>
    <t>Grocery</t>
  </si>
  <si>
    <t>Foot Ware</t>
  </si>
  <si>
    <t>Laptop</t>
  </si>
  <si>
    <t>Sofa</t>
  </si>
  <si>
    <t>T-shirt</t>
  </si>
  <si>
    <t>Refrigerator</t>
  </si>
  <si>
    <t>Rice</t>
  </si>
  <si>
    <t>Shoes</t>
  </si>
  <si>
    <t>Shirt</t>
  </si>
  <si>
    <t>Smart Phone</t>
  </si>
  <si>
    <t>Air Conditioner</t>
  </si>
  <si>
    <t>Cooking Oil</t>
  </si>
  <si>
    <t>North</t>
  </si>
  <si>
    <t>South</t>
  </si>
  <si>
    <t>East</t>
  </si>
  <si>
    <t>West</t>
  </si>
  <si>
    <t>Indu</t>
  </si>
  <si>
    <t>Teja</t>
  </si>
  <si>
    <t>Hemanjali</t>
  </si>
  <si>
    <t>Chidwija</t>
  </si>
  <si>
    <t>Chanakya</t>
  </si>
  <si>
    <t>Vasu</t>
  </si>
  <si>
    <t>Santhi</t>
  </si>
  <si>
    <t>Yamuna</t>
  </si>
  <si>
    <t>Jyothika</t>
  </si>
  <si>
    <t>Chandini</t>
  </si>
  <si>
    <t>Sum of Transaction ID</t>
  </si>
  <si>
    <t>Row Labels</t>
  </si>
  <si>
    <t>Grand Total</t>
  </si>
  <si>
    <t xml:space="preserve">Sum of Units Sold </t>
  </si>
  <si>
    <t>Sum of Unit Price</t>
  </si>
  <si>
    <t>Sum of Total Cost</t>
  </si>
  <si>
    <t>Revenue</t>
  </si>
  <si>
    <t>Profit</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</si>
</sst>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applyNumberFormat="1"/>
    <xf numFmtId="0" fontId="0" fillId="0" borderId="0" xfId="0" pivotButton="1"/>
    <xf numFmtId="14"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DA project.xlsx]Sheet3!PivotTable1</c:name>
    <c:fmtId val="8"/>
  </c:pivotSource>
  <c:chart>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0.13824759405074366"/>
          <c:y val="7.7682997958588504E-2"/>
          <c:w val="0.5989829396325459"/>
          <c:h val="0.5730030621172354"/>
        </c:manualLayout>
      </c:layout>
      <c:barChart>
        <c:barDir val="col"/>
        <c:grouping val="stacked"/>
        <c:varyColors val="0"/>
        <c:ser>
          <c:idx val="0"/>
          <c:order val="0"/>
          <c:tx>
            <c:strRef>
              <c:f>Sheet3!$B$3</c:f>
              <c:strCache>
                <c:ptCount val="1"/>
                <c:pt idx="0">
                  <c:v>Sum of Transaction ID</c:v>
                </c:pt>
              </c:strCache>
            </c:strRef>
          </c:tx>
          <c:spPr>
            <a:solidFill>
              <a:schemeClr val="accent1"/>
            </a:solidFill>
            <a:ln>
              <a:noFill/>
            </a:ln>
            <a:effectLst/>
          </c:spPr>
          <c:invertIfNegative val="0"/>
          <c:cat>
            <c:strRef>
              <c:f>Sheet3!$A$4:$A$14</c:f>
              <c:strCache>
                <c:ptCount val="10"/>
                <c:pt idx="0">
                  <c:v>18-01-2026</c:v>
                </c:pt>
                <c:pt idx="1">
                  <c:v>19-01-2026</c:v>
                </c:pt>
                <c:pt idx="2">
                  <c:v>20-01-2026</c:v>
                </c:pt>
                <c:pt idx="3">
                  <c:v>21-01-2026</c:v>
                </c:pt>
                <c:pt idx="4">
                  <c:v>22-01-2026</c:v>
                </c:pt>
                <c:pt idx="5">
                  <c:v>23-01-2026</c:v>
                </c:pt>
                <c:pt idx="6">
                  <c:v>24-01-2026</c:v>
                </c:pt>
                <c:pt idx="7">
                  <c:v>25-01-2026</c:v>
                </c:pt>
                <c:pt idx="8">
                  <c:v>26-01-2026</c:v>
                </c:pt>
                <c:pt idx="9">
                  <c:v>27-01-2026</c:v>
                </c:pt>
              </c:strCache>
            </c:strRef>
          </c:cat>
          <c:val>
            <c:numRef>
              <c:f>Sheet3!$B$4:$B$14</c:f>
              <c:numCache>
                <c:formatCode>General</c:formatCode>
                <c:ptCount val="10"/>
                <c:pt idx="0">
                  <c:v>401</c:v>
                </c:pt>
                <c:pt idx="1">
                  <c:v>402</c:v>
                </c:pt>
                <c:pt idx="2">
                  <c:v>403</c:v>
                </c:pt>
                <c:pt idx="3">
                  <c:v>404</c:v>
                </c:pt>
                <c:pt idx="4">
                  <c:v>405</c:v>
                </c:pt>
                <c:pt idx="5">
                  <c:v>406</c:v>
                </c:pt>
                <c:pt idx="6">
                  <c:v>407</c:v>
                </c:pt>
                <c:pt idx="7">
                  <c:v>408</c:v>
                </c:pt>
                <c:pt idx="8">
                  <c:v>409</c:v>
                </c:pt>
                <c:pt idx="9">
                  <c:v>410</c:v>
                </c:pt>
              </c:numCache>
            </c:numRef>
          </c:val>
        </c:ser>
        <c:ser>
          <c:idx val="1"/>
          <c:order val="1"/>
          <c:tx>
            <c:strRef>
              <c:f>Sheet3!$C$3</c:f>
              <c:strCache>
                <c:ptCount val="1"/>
                <c:pt idx="0">
                  <c:v>Sum of Units Sold </c:v>
                </c:pt>
              </c:strCache>
            </c:strRef>
          </c:tx>
          <c:spPr>
            <a:solidFill>
              <a:schemeClr val="accent2"/>
            </a:solidFill>
            <a:ln>
              <a:noFill/>
            </a:ln>
            <a:effectLst/>
          </c:spPr>
          <c:invertIfNegative val="0"/>
          <c:cat>
            <c:strRef>
              <c:f>Sheet3!$A$4:$A$14</c:f>
              <c:strCache>
                <c:ptCount val="10"/>
                <c:pt idx="0">
                  <c:v>18-01-2026</c:v>
                </c:pt>
                <c:pt idx="1">
                  <c:v>19-01-2026</c:v>
                </c:pt>
                <c:pt idx="2">
                  <c:v>20-01-2026</c:v>
                </c:pt>
                <c:pt idx="3">
                  <c:v>21-01-2026</c:v>
                </c:pt>
                <c:pt idx="4">
                  <c:v>22-01-2026</c:v>
                </c:pt>
                <c:pt idx="5">
                  <c:v>23-01-2026</c:v>
                </c:pt>
                <c:pt idx="6">
                  <c:v>24-01-2026</c:v>
                </c:pt>
                <c:pt idx="7">
                  <c:v>25-01-2026</c:v>
                </c:pt>
                <c:pt idx="8">
                  <c:v>26-01-2026</c:v>
                </c:pt>
                <c:pt idx="9">
                  <c:v>27-01-2026</c:v>
                </c:pt>
              </c:strCache>
            </c:strRef>
          </c:cat>
          <c:val>
            <c:numRef>
              <c:f>Sheet3!$C$4:$C$14</c:f>
              <c:numCache>
                <c:formatCode>General</c:formatCode>
                <c:ptCount val="10"/>
                <c:pt idx="0">
                  <c:v>5</c:v>
                </c:pt>
                <c:pt idx="1">
                  <c:v>10</c:v>
                </c:pt>
                <c:pt idx="2">
                  <c:v>12</c:v>
                </c:pt>
                <c:pt idx="3">
                  <c:v>7</c:v>
                </c:pt>
                <c:pt idx="4">
                  <c:v>15</c:v>
                </c:pt>
                <c:pt idx="5">
                  <c:v>8</c:v>
                </c:pt>
                <c:pt idx="6">
                  <c:v>20</c:v>
                </c:pt>
                <c:pt idx="7">
                  <c:v>5</c:v>
                </c:pt>
                <c:pt idx="8">
                  <c:v>7</c:v>
                </c:pt>
                <c:pt idx="9">
                  <c:v>10</c:v>
                </c:pt>
              </c:numCache>
            </c:numRef>
          </c:val>
        </c:ser>
        <c:ser>
          <c:idx val="2"/>
          <c:order val="2"/>
          <c:tx>
            <c:strRef>
              <c:f>Sheet3!$D$3</c:f>
              <c:strCache>
                <c:ptCount val="1"/>
                <c:pt idx="0">
                  <c:v>Sum of Unit Price</c:v>
                </c:pt>
              </c:strCache>
            </c:strRef>
          </c:tx>
          <c:spPr>
            <a:solidFill>
              <a:schemeClr val="accent3"/>
            </a:solidFill>
            <a:ln>
              <a:noFill/>
            </a:ln>
            <a:effectLst/>
          </c:spPr>
          <c:invertIfNegative val="0"/>
          <c:cat>
            <c:strRef>
              <c:f>Sheet3!$A$4:$A$14</c:f>
              <c:strCache>
                <c:ptCount val="10"/>
                <c:pt idx="0">
                  <c:v>18-01-2026</c:v>
                </c:pt>
                <c:pt idx="1">
                  <c:v>19-01-2026</c:v>
                </c:pt>
                <c:pt idx="2">
                  <c:v>20-01-2026</c:v>
                </c:pt>
                <c:pt idx="3">
                  <c:v>21-01-2026</c:v>
                </c:pt>
                <c:pt idx="4">
                  <c:v>22-01-2026</c:v>
                </c:pt>
                <c:pt idx="5">
                  <c:v>23-01-2026</c:v>
                </c:pt>
                <c:pt idx="6">
                  <c:v>24-01-2026</c:v>
                </c:pt>
                <c:pt idx="7">
                  <c:v>25-01-2026</c:v>
                </c:pt>
                <c:pt idx="8">
                  <c:v>26-01-2026</c:v>
                </c:pt>
                <c:pt idx="9">
                  <c:v>27-01-2026</c:v>
                </c:pt>
              </c:strCache>
            </c:strRef>
          </c:cat>
          <c:val>
            <c:numRef>
              <c:f>Sheet3!$D$4:$D$14</c:f>
              <c:numCache>
                <c:formatCode>General</c:formatCode>
                <c:ptCount val="10"/>
                <c:pt idx="0">
                  <c:v>50000</c:v>
                </c:pt>
                <c:pt idx="1">
                  <c:v>30000</c:v>
                </c:pt>
                <c:pt idx="2">
                  <c:v>300</c:v>
                </c:pt>
                <c:pt idx="3">
                  <c:v>35000</c:v>
                </c:pt>
                <c:pt idx="4">
                  <c:v>1500</c:v>
                </c:pt>
                <c:pt idx="5">
                  <c:v>2000</c:v>
                </c:pt>
                <c:pt idx="6">
                  <c:v>600</c:v>
                </c:pt>
                <c:pt idx="7">
                  <c:v>35000</c:v>
                </c:pt>
                <c:pt idx="8">
                  <c:v>55000</c:v>
                </c:pt>
                <c:pt idx="9">
                  <c:v>200</c:v>
                </c:pt>
              </c:numCache>
            </c:numRef>
          </c:val>
        </c:ser>
        <c:ser>
          <c:idx val="3"/>
          <c:order val="3"/>
          <c:tx>
            <c:strRef>
              <c:f>Sheet3!$E$3</c:f>
              <c:strCache>
                <c:ptCount val="1"/>
                <c:pt idx="0">
                  <c:v>Sum of Total Cost</c:v>
                </c:pt>
              </c:strCache>
            </c:strRef>
          </c:tx>
          <c:spPr>
            <a:solidFill>
              <a:schemeClr val="accent4"/>
            </a:solidFill>
            <a:ln>
              <a:noFill/>
            </a:ln>
            <a:effectLst/>
          </c:spPr>
          <c:invertIfNegative val="0"/>
          <c:cat>
            <c:strRef>
              <c:f>Sheet3!$A$4:$A$14</c:f>
              <c:strCache>
                <c:ptCount val="10"/>
                <c:pt idx="0">
                  <c:v>18-01-2026</c:v>
                </c:pt>
                <c:pt idx="1">
                  <c:v>19-01-2026</c:v>
                </c:pt>
                <c:pt idx="2">
                  <c:v>20-01-2026</c:v>
                </c:pt>
                <c:pt idx="3">
                  <c:v>21-01-2026</c:v>
                </c:pt>
                <c:pt idx="4">
                  <c:v>22-01-2026</c:v>
                </c:pt>
                <c:pt idx="5">
                  <c:v>23-01-2026</c:v>
                </c:pt>
                <c:pt idx="6">
                  <c:v>24-01-2026</c:v>
                </c:pt>
                <c:pt idx="7">
                  <c:v>25-01-2026</c:v>
                </c:pt>
                <c:pt idx="8">
                  <c:v>26-01-2026</c:v>
                </c:pt>
                <c:pt idx="9">
                  <c:v>27-01-2026</c:v>
                </c:pt>
              </c:strCache>
            </c:strRef>
          </c:cat>
          <c:val>
            <c:numRef>
              <c:f>Sheet3!$E$4:$E$14</c:f>
              <c:numCache>
                <c:formatCode>General</c:formatCode>
                <c:ptCount val="10"/>
                <c:pt idx="0">
                  <c:v>3000000</c:v>
                </c:pt>
                <c:pt idx="1">
                  <c:v>220000</c:v>
                </c:pt>
                <c:pt idx="2">
                  <c:v>50000</c:v>
                </c:pt>
                <c:pt idx="3">
                  <c:v>250000</c:v>
                </c:pt>
                <c:pt idx="4">
                  <c:v>75000</c:v>
                </c:pt>
                <c:pt idx="5">
                  <c:v>150000</c:v>
                </c:pt>
                <c:pt idx="6">
                  <c:v>150000</c:v>
                </c:pt>
                <c:pt idx="7">
                  <c:v>200000</c:v>
                </c:pt>
                <c:pt idx="8">
                  <c:v>350000</c:v>
                </c:pt>
                <c:pt idx="9">
                  <c:v>85000</c:v>
                </c:pt>
              </c:numCache>
            </c:numRef>
          </c:val>
        </c:ser>
        <c:dLbls>
          <c:showLegendKey val="0"/>
          <c:showVal val="0"/>
          <c:showCatName val="0"/>
          <c:showSerName val="0"/>
          <c:showPercent val="0"/>
          <c:showBubbleSize val="0"/>
        </c:dLbls>
        <c:gapWidth val="150"/>
        <c:overlap val="100"/>
        <c:axId val="1754581328"/>
        <c:axId val="1754593840"/>
      </c:barChart>
      <c:catAx>
        <c:axId val="175458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93840"/>
        <c:crosses val="autoZero"/>
        <c:auto val="1"/>
        <c:lblAlgn val="ctr"/>
        <c:lblOffset val="100"/>
        <c:noMultiLvlLbl val="0"/>
      </c:catAx>
      <c:valAx>
        <c:axId val="17545938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8132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DA project.xlsx]Sheet3!PivotTable4</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marker>
          <c:symbol val="none"/>
        </c:marke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s>
    <c:plotArea>
      <c:layout/>
      <c:pieChart>
        <c:varyColors val="1"/>
        <c:ser>
          <c:idx val="0"/>
          <c:order val="0"/>
          <c:tx>
            <c:strRef>
              <c:f>Sheet3!$H$3</c:f>
              <c:strCache>
                <c:ptCount val="1"/>
                <c:pt idx="0">
                  <c:v>Sum of Transaction ID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Sheet3!$G$4:$G$14</c:f>
              <c:strCache>
                <c:ptCount val="10"/>
                <c:pt idx="0">
                  <c:v>18-01-2026</c:v>
                </c:pt>
                <c:pt idx="1">
                  <c:v>19-01-2026</c:v>
                </c:pt>
                <c:pt idx="2">
                  <c:v>20-01-2026</c:v>
                </c:pt>
                <c:pt idx="3">
                  <c:v>21-01-2026</c:v>
                </c:pt>
                <c:pt idx="4">
                  <c:v>22-01-2026</c:v>
                </c:pt>
                <c:pt idx="5">
                  <c:v>23-01-2026</c:v>
                </c:pt>
                <c:pt idx="6">
                  <c:v>24-01-2026</c:v>
                </c:pt>
                <c:pt idx="7">
                  <c:v>25-01-2026</c:v>
                </c:pt>
                <c:pt idx="8">
                  <c:v>26-01-2026</c:v>
                </c:pt>
                <c:pt idx="9">
                  <c:v>27-01-2026</c:v>
                </c:pt>
              </c:strCache>
            </c:strRef>
          </c:cat>
          <c:val>
            <c:numRef>
              <c:f>Sheet3!$H$4:$H$14</c:f>
              <c:numCache>
                <c:formatCode>General</c:formatCode>
                <c:ptCount val="10"/>
                <c:pt idx="0">
                  <c:v>401</c:v>
                </c:pt>
                <c:pt idx="1">
                  <c:v>402</c:v>
                </c:pt>
                <c:pt idx="2">
                  <c:v>403</c:v>
                </c:pt>
                <c:pt idx="3">
                  <c:v>404</c:v>
                </c:pt>
                <c:pt idx="4">
                  <c:v>405</c:v>
                </c:pt>
                <c:pt idx="5">
                  <c:v>406</c:v>
                </c:pt>
                <c:pt idx="6">
                  <c:v>407</c:v>
                </c:pt>
                <c:pt idx="7">
                  <c:v>408</c:v>
                </c:pt>
                <c:pt idx="8">
                  <c:v>409</c:v>
                </c:pt>
                <c:pt idx="9">
                  <c:v>410</c:v>
                </c:pt>
              </c:numCache>
            </c:numRef>
          </c:val>
        </c:ser>
        <c:ser>
          <c:idx val="1"/>
          <c:order val="1"/>
          <c:tx>
            <c:strRef>
              <c:f>Sheet3!$I$3</c:f>
              <c:strCache>
                <c:ptCount val="1"/>
                <c:pt idx="0">
                  <c:v>Sum of Units Sold </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Sheet3!$G$4:$G$14</c:f>
              <c:strCache>
                <c:ptCount val="10"/>
                <c:pt idx="0">
                  <c:v>18-01-2026</c:v>
                </c:pt>
                <c:pt idx="1">
                  <c:v>19-01-2026</c:v>
                </c:pt>
                <c:pt idx="2">
                  <c:v>20-01-2026</c:v>
                </c:pt>
                <c:pt idx="3">
                  <c:v>21-01-2026</c:v>
                </c:pt>
                <c:pt idx="4">
                  <c:v>22-01-2026</c:v>
                </c:pt>
                <c:pt idx="5">
                  <c:v>23-01-2026</c:v>
                </c:pt>
                <c:pt idx="6">
                  <c:v>24-01-2026</c:v>
                </c:pt>
                <c:pt idx="7">
                  <c:v>25-01-2026</c:v>
                </c:pt>
                <c:pt idx="8">
                  <c:v>26-01-2026</c:v>
                </c:pt>
                <c:pt idx="9">
                  <c:v>27-01-2026</c:v>
                </c:pt>
              </c:strCache>
            </c:strRef>
          </c:cat>
          <c:val>
            <c:numRef>
              <c:f>Sheet3!$I$4:$I$14</c:f>
              <c:numCache>
                <c:formatCode>General</c:formatCode>
                <c:ptCount val="10"/>
                <c:pt idx="0">
                  <c:v>5</c:v>
                </c:pt>
                <c:pt idx="1">
                  <c:v>10</c:v>
                </c:pt>
                <c:pt idx="2">
                  <c:v>12</c:v>
                </c:pt>
                <c:pt idx="3">
                  <c:v>7</c:v>
                </c:pt>
                <c:pt idx="4">
                  <c:v>15</c:v>
                </c:pt>
                <c:pt idx="5">
                  <c:v>8</c:v>
                </c:pt>
                <c:pt idx="6">
                  <c:v>20</c:v>
                </c:pt>
                <c:pt idx="7">
                  <c:v>5</c:v>
                </c:pt>
                <c:pt idx="8">
                  <c:v>7</c:v>
                </c:pt>
                <c:pt idx="9">
                  <c:v>10</c:v>
                </c:pt>
              </c:numCache>
            </c:numRef>
          </c:val>
        </c:ser>
        <c:ser>
          <c:idx val="2"/>
          <c:order val="2"/>
          <c:tx>
            <c:strRef>
              <c:f>Sheet3!$J$3</c:f>
              <c:strCache>
                <c:ptCount val="1"/>
                <c:pt idx="0">
                  <c:v>Sum of Unit Price</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Sheet3!$G$4:$G$14</c:f>
              <c:strCache>
                <c:ptCount val="10"/>
                <c:pt idx="0">
                  <c:v>18-01-2026</c:v>
                </c:pt>
                <c:pt idx="1">
                  <c:v>19-01-2026</c:v>
                </c:pt>
                <c:pt idx="2">
                  <c:v>20-01-2026</c:v>
                </c:pt>
                <c:pt idx="3">
                  <c:v>21-01-2026</c:v>
                </c:pt>
                <c:pt idx="4">
                  <c:v>22-01-2026</c:v>
                </c:pt>
                <c:pt idx="5">
                  <c:v>23-01-2026</c:v>
                </c:pt>
                <c:pt idx="6">
                  <c:v>24-01-2026</c:v>
                </c:pt>
                <c:pt idx="7">
                  <c:v>25-01-2026</c:v>
                </c:pt>
                <c:pt idx="8">
                  <c:v>26-01-2026</c:v>
                </c:pt>
                <c:pt idx="9">
                  <c:v>27-01-2026</c:v>
                </c:pt>
              </c:strCache>
            </c:strRef>
          </c:cat>
          <c:val>
            <c:numRef>
              <c:f>Sheet3!$J$4:$J$14</c:f>
              <c:numCache>
                <c:formatCode>General</c:formatCode>
                <c:ptCount val="10"/>
                <c:pt idx="0">
                  <c:v>50000</c:v>
                </c:pt>
                <c:pt idx="1">
                  <c:v>30000</c:v>
                </c:pt>
                <c:pt idx="2">
                  <c:v>300</c:v>
                </c:pt>
                <c:pt idx="3">
                  <c:v>35000</c:v>
                </c:pt>
                <c:pt idx="4">
                  <c:v>1500</c:v>
                </c:pt>
                <c:pt idx="5">
                  <c:v>2000</c:v>
                </c:pt>
                <c:pt idx="6">
                  <c:v>600</c:v>
                </c:pt>
                <c:pt idx="7">
                  <c:v>35000</c:v>
                </c:pt>
                <c:pt idx="8">
                  <c:v>55000</c:v>
                </c:pt>
                <c:pt idx="9">
                  <c:v>200</c:v>
                </c:pt>
              </c:numCache>
            </c:numRef>
          </c:val>
        </c:ser>
        <c:ser>
          <c:idx val="3"/>
          <c:order val="3"/>
          <c:tx>
            <c:strRef>
              <c:f>Sheet3!$K$3</c:f>
              <c:strCache>
                <c:ptCount val="1"/>
                <c:pt idx="0">
                  <c:v>Sum of Total Cost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Sheet3!$G$4:$G$14</c:f>
              <c:strCache>
                <c:ptCount val="10"/>
                <c:pt idx="0">
                  <c:v>18-01-2026</c:v>
                </c:pt>
                <c:pt idx="1">
                  <c:v>19-01-2026</c:v>
                </c:pt>
                <c:pt idx="2">
                  <c:v>20-01-2026</c:v>
                </c:pt>
                <c:pt idx="3">
                  <c:v>21-01-2026</c:v>
                </c:pt>
                <c:pt idx="4">
                  <c:v>22-01-2026</c:v>
                </c:pt>
                <c:pt idx="5">
                  <c:v>23-01-2026</c:v>
                </c:pt>
                <c:pt idx="6">
                  <c:v>24-01-2026</c:v>
                </c:pt>
                <c:pt idx="7">
                  <c:v>25-01-2026</c:v>
                </c:pt>
                <c:pt idx="8">
                  <c:v>26-01-2026</c:v>
                </c:pt>
                <c:pt idx="9">
                  <c:v>27-01-2026</c:v>
                </c:pt>
              </c:strCache>
            </c:strRef>
          </c:cat>
          <c:val>
            <c:numRef>
              <c:f>Sheet3!$K$4:$K$14</c:f>
              <c:numCache>
                <c:formatCode>General</c:formatCode>
                <c:ptCount val="10"/>
                <c:pt idx="0">
                  <c:v>3000000</c:v>
                </c:pt>
                <c:pt idx="1">
                  <c:v>220000</c:v>
                </c:pt>
                <c:pt idx="2">
                  <c:v>50000</c:v>
                </c:pt>
                <c:pt idx="3">
                  <c:v>250000</c:v>
                </c:pt>
                <c:pt idx="4">
                  <c:v>75000</c:v>
                </c:pt>
                <c:pt idx="5">
                  <c:v>150000</c:v>
                </c:pt>
                <c:pt idx="6">
                  <c:v>150000</c:v>
                </c:pt>
                <c:pt idx="7">
                  <c:v>200000</c:v>
                </c:pt>
                <c:pt idx="8">
                  <c:v>350000</c:v>
                </c:pt>
                <c:pt idx="9">
                  <c:v>85000</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[Indu DA project.xlsx]Sheet3!PivotTable3</c:name>
    <c:fmtId val="14"/>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s>
    <c:plotArea>
      <c:layout>
        <c:manualLayout>
          <c:layoutTarget val="inner"/>
          <c:xMode val="edge"/>
          <c:yMode val="edge"/>
          <c:x val="0.13546981627296589"/>
          <c:y val="0.14712744240303297"/>
          <c:w val="0.51255664916885391"/>
          <c:h val="0.53596602508019831"/>
        </c:manualLayout>
      </c:layout>
      <c:lineChart>
        <c:grouping val="standard"/>
        <c:varyColors val="0"/>
        <c:ser>
          <c:idx val="0"/>
          <c:order val="0"/>
          <c:tx>
            <c:strRef>
              <c:f>Sheet3!$B$17</c:f>
              <c:strCache>
                <c:ptCount val="1"/>
                <c:pt idx="0">
                  <c:v>Sum of Transaction ID</c:v>
                </c:pt>
              </c:strCache>
            </c:strRef>
          </c:tx>
          <c:spPr>
            <a:ln w="28575" cap="rnd">
              <a:solidFill>
                <a:schemeClr val="accent1"/>
              </a:solidFill>
              <a:round/>
            </a:ln>
            <a:effectLst/>
          </c:spPr>
          <c:marker>
            <c:symbol val="none"/>
          </c:marker>
          <c:cat>
            <c:strRef>
              <c:f>Sheet3!$A$18:$A$28</c:f>
              <c:strCache>
                <c:ptCount val="10"/>
                <c:pt idx="0">
                  <c:v>18-01-2026</c:v>
                </c:pt>
                <c:pt idx="1">
                  <c:v>19-01-2026</c:v>
                </c:pt>
                <c:pt idx="2">
                  <c:v>20-01-2026</c:v>
                </c:pt>
                <c:pt idx="3">
                  <c:v>21-01-2026</c:v>
                </c:pt>
                <c:pt idx="4">
                  <c:v>22-01-2026</c:v>
                </c:pt>
                <c:pt idx="5">
                  <c:v>23-01-2026</c:v>
                </c:pt>
                <c:pt idx="6">
                  <c:v>24-01-2026</c:v>
                </c:pt>
                <c:pt idx="7">
                  <c:v>25-01-2026</c:v>
                </c:pt>
                <c:pt idx="8">
                  <c:v>26-01-2026</c:v>
                </c:pt>
                <c:pt idx="9">
                  <c:v>27-01-2026</c:v>
                </c:pt>
              </c:strCache>
            </c:strRef>
          </c:cat>
          <c:val>
            <c:numRef>
              <c:f>Sheet3!$B$18:$B$28</c:f>
              <c:numCache>
                <c:formatCode>General</c:formatCode>
                <c:ptCount val="10"/>
                <c:pt idx="0">
                  <c:v>401</c:v>
                </c:pt>
                <c:pt idx="1">
                  <c:v>402</c:v>
                </c:pt>
                <c:pt idx="2">
                  <c:v>403</c:v>
                </c:pt>
                <c:pt idx="3">
                  <c:v>404</c:v>
                </c:pt>
                <c:pt idx="4">
                  <c:v>405</c:v>
                </c:pt>
                <c:pt idx="5">
                  <c:v>406</c:v>
                </c:pt>
                <c:pt idx="6">
                  <c:v>407</c:v>
                </c:pt>
                <c:pt idx="7">
                  <c:v>408</c:v>
                </c:pt>
                <c:pt idx="8">
                  <c:v>409</c:v>
                </c:pt>
                <c:pt idx="9">
                  <c:v>410</c:v>
                </c:pt>
              </c:numCache>
            </c:numRef>
          </c:val>
          <c:smooth val="0"/>
        </c:ser>
        <c:ser>
          <c:idx val="1"/>
          <c:order val="1"/>
          <c:tx>
            <c:strRef>
              <c:f>Sheet3!$C$17</c:f>
              <c:strCache>
                <c:ptCount val="1"/>
                <c:pt idx="0">
                  <c:v>Sum of Units Sold </c:v>
                </c:pt>
              </c:strCache>
            </c:strRef>
          </c:tx>
          <c:spPr>
            <a:ln w="28575" cap="rnd">
              <a:solidFill>
                <a:schemeClr val="accent2"/>
              </a:solidFill>
              <a:round/>
            </a:ln>
            <a:effectLst/>
          </c:spPr>
          <c:marker>
            <c:symbol val="none"/>
          </c:marker>
          <c:cat>
            <c:strRef>
              <c:f>Sheet3!$A$18:$A$28</c:f>
              <c:strCache>
                <c:ptCount val="10"/>
                <c:pt idx="0">
                  <c:v>18-01-2026</c:v>
                </c:pt>
                <c:pt idx="1">
                  <c:v>19-01-2026</c:v>
                </c:pt>
                <c:pt idx="2">
                  <c:v>20-01-2026</c:v>
                </c:pt>
                <c:pt idx="3">
                  <c:v>21-01-2026</c:v>
                </c:pt>
                <c:pt idx="4">
                  <c:v>22-01-2026</c:v>
                </c:pt>
                <c:pt idx="5">
                  <c:v>23-01-2026</c:v>
                </c:pt>
                <c:pt idx="6">
                  <c:v>24-01-2026</c:v>
                </c:pt>
                <c:pt idx="7">
                  <c:v>25-01-2026</c:v>
                </c:pt>
                <c:pt idx="8">
                  <c:v>26-01-2026</c:v>
                </c:pt>
                <c:pt idx="9">
                  <c:v>27-01-2026</c:v>
                </c:pt>
              </c:strCache>
            </c:strRef>
          </c:cat>
          <c:val>
            <c:numRef>
              <c:f>Sheet3!$C$18:$C$28</c:f>
              <c:numCache>
                <c:formatCode>General</c:formatCode>
                <c:ptCount val="10"/>
                <c:pt idx="0">
                  <c:v>5</c:v>
                </c:pt>
                <c:pt idx="1">
                  <c:v>10</c:v>
                </c:pt>
                <c:pt idx="2">
                  <c:v>12</c:v>
                </c:pt>
                <c:pt idx="3">
                  <c:v>7</c:v>
                </c:pt>
                <c:pt idx="4">
                  <c:v>15</c:v>
                </c:pt>
                <c:pt idx="5">
                  <c:v>8</c:v>
                </c:pt>
                <c:pt idx="6">
                  <c:v>20</c:v>
                </c:pt>
                <c:pt idx="7">
                  <c:v>5</c:v>
                </c:pt>
                <c:pt idx="8">
                  <c:v>7</c:v>
                </c:pt>
                <c:pt idx="9">
                  <c:v>10</c:v>
                </c:pt>
              </c:numCache>
            </c:numRef>
          </c:val>
          <c:smooth val="0"/>
        </c:ser>
        <c:ser>
          <c:idx val="2"/>
          <c:order val="2"/>
          <c:tx>
            <c:strRef>
              <c:f>Sheet3!$D$17</c:f>
              <c:strCache>
                <c:ptCount val="1"/>
                <c:pt idx="0">
                  <c:v>Sum of Unit Price</c:v>
                </c:pt>
              </c:strCache>
            </c:strRef>
          </c:tx>
          <c:spPr>
            <a:ln w="28575" cap="rnd">
              <a:solidFill>
                <a:schemeClr val="accent3"/>
              </a:solidFill>
              <a:round/>
            </a:ln>
            <a:effectLst/>
          </c:spPr>
          <c:marker>
            <c:symbol val="none"/>
          </c:marker>
          <c:cat>
            <c:strRef>
              <c:f>Sheet3!$A$18:$A$28</c:f>
              <c:strCache>
                <c:ptCount val="10"/>
                <c:pt idx="0">
                  <c:v>18-01-2026</c:v>
                </c:pt>
                <c:pt idx="1">
                  <c:v>19-01-2026</c:v>
                </c:pt>
                <c:pt idx="2">
                  <c:v>20-01-2026</c:v>
                </c:pt>
                <c:pt idx="3">
                  <c:v>21-01-2026</c:v>
                </c:pt>
                <c:pt idx="4">
                  <c:v>22-01-2026</c:v>
                </c:pt>
                <c:pt idx="5">
                  <c:v>23-01-2026</c:v>
                </c:pt>
                <c:pt idx="6">
                  <c:v>24-01-2026</c:v>
                </c:pt>
                <c:pt idx="7">
                  <c:v>25-01-2026</c:v>
                </c:pt>
                <c:pt idx="8">
                  <c:v>26-01-2026</c:v>
                </c:pt>
                <c:pt idx="9">
                  <c:v>27-01-2026</c:v>
                </c:pt>
              </c:strCache>
            </c:strRef>
          </c:cat>
          <c:val>
            <c:numRef>
              <c:f>Sheet3!$D$18:$D$28</c:f>
              <c:numCache>
                <c:formatCode>General</c:formatCode>
                <c:ptCount val="10"/>
                <c:pt idx="0">
                  <c:v>50000</c:v>
                </c:pt>
                <c:pt idx="1">
                  <c:v>30000</c:v>
                </c:pt>
                <c:pt idx="2">
                  <c:v>300</c:v>
                </c:pt>
                <c:pt idx="3">
                  <c:v>35000</c:v>
                </c:pt>
                <c:pt idx="4">
                  <c:v>1500</c:v>
                </c:pt>
                <c:pt idx="5">
                  <c:v>2000</c:v>
                </c:pt>
                <c:pt idx="6">
                  <c:v>600</c:v>
                </c:pt>
                <c:pt idx="7">
                  <c:v>35000</c:v>
                </c:pt>
                <c:pt idx="8">
                  <c:v>55000</c:v>
                </c:pt>
                <c:pt idx="9">
                  <c:v>200</c:v>
                </c:pt>
              </c:numCache>
            </c:numRef>
          </c:val>
          <c:smooth val="0"/>
        </c:ser>
        <c:ser>
          <c:idx val="3"/>
          <c:order val="3"/>
          <c:tx>
            <c:strRef>
              <c:f>Sheet3!$E$17</c:f>
              <c:strCache>
                <c:ptCount val="1"/>
                <c:pt idx="0">
                  <c:v>Sum of Total Cost</c:v>
                </c:pt>
              </c:strCache>
            </c:strRef>
          </c:tx>
          <c:spPr>
            <a:ln w="28575" cap="rnd">
              <a:solidFill>
                <a:schemeClr val="accent4"/>
              </a:solidFill>
              <a:round/>
            </a:ln>
            <a:effectLst/>
          </c:spPr>
          <c:marker>
            <c:symbol val="none"/>
          </c:marker>
          <c:cat>
            <c:strRef>
              <c:f>Sheet3!$A$18:$A$28</c:f>
              <c:strCache>
                <c:ptCount val="10"/>
                <c:pt idx="0">
                  <c:v>18-01-2026</c:v>
                </c:pt>
                <c:pt idx="1">
                  <c:v>19-01-2026</c:v>
                </c:pt>
                <c:pt idx="2">
                  <c:v>20-01-2026</c:v>
                </c:pt>
                <c:pt idx="3">
                  <c:v>21-01-2026</c:v>
                </c:pt>
                <c:pt idx="4">
                  <c:v>22-01-2026</c:v>
                </c:pt>
                <c:pt idx="5">
                  <c:v>23-01-2026</c:v>
                </c:pt>
                <c:pt idx="6">
                  <c:v>24-01-2026</c:v>
                </c:pt>
                <c:pt idx="7">
                  <c:v>25-01-2026</c:v>
                </c:pt>
                <c:pt idx="8">
                  <c:v>26-01-2026</c:v>
                </c:pt>
                <c:pt idx="9">
                  <c:v>27-01-2026</c:v>
                </c:pt>
              </c:strCache>
            </c:strRef>
          </c:cat>
          <c:val>
            <c:numRef>
              <c:f>Sheet3!$E$18:$E$28</c:f>
              <c:numCache>
                <c:formatCode>General</c:formatCode>
                <c:ptCount val="10"/>
                <c:pt idx="0">
                  <c:v>3000000</c:v>
                </c:pt>
                <c:pt idx="1">
                  <c:v>220000</c:v>
                </c:pt>
                <c:pt idx="2">
                  <c:v>50000</c:v>
                </c:pt>
                <c:pt idx="3">
                  <c:v>250000</c:v>
                </c:pt>
                <c:pt idx="4">
                  <c:v>75000</c:v>
                </c:pt>
                <c:pt idx="5">
                  <c:v>150000</c:v>
                </c:pt>
                <c:pt idx="6">
                  <c:v>150000</c:v>
                </c:pt>
                <c:pt idx="7">
                  <c:v>200000</c:v>
                </c:pt>
                <c:pt idx="8">
                  <c:v>350000</c:v>
                </c:pt>
                <c:pt idx="9">
                  <c:v>85000</c:v>
                </c:pt>
              </c:numCache>
            </c:numRef>
          </c:val>
          <c:smooth val="0"/>
        </c:ser>
        <c:dLbls>
          <c:showLegendKey val="0"/>
          <c:showVal val="0"/>
          <c:showCatName val="0"/>
          <c:showSerName val="0"/>
          <c:showPercent val="0"/>
          <c:showBubbleSize val="0"/>
        </c:dLbls>
        <c:smooth val="0"/>
        <c:axId val="1754582960"/>
        <c:axId val="1754584592"/>
      </c:lineChart>
      <c:catAx>
        <c:axId val="175458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84592"/>
        <c:crosses val="autoZero"/>
        <c:auto val="1"/>
        <c:lblAlgn val="ctr"/>
        <c:lblOffset val="100"/>
        <c:noMultiLvlLbl val="0"/>
      </c:catAx>
      <c:valAx>
        <c:axId val="1754584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45829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752475</xdr:colOff>
      <xdr:row>15</xdr:row>
      <xdr:rowOff>57150</xdr:rowOff>
    </xdr:from>
    <xdr:to>
      <xdr:col>8</xdr:col>
      <xdr:colOff>57150</xdr:colOff>
      <xdr:row>28</xdr:row>
      <xdr:rowOff>104775</xdr:rowOff>
    </xdr:to>
    <mc:AlternateContent xmlns:mc="http://schemas.openxmlformats.org/markup-compatibility/2006">
      <mc:Choice xmlns:a14="http://schemas.microsoft.com/office/drawing/2010/main" Requires="a14">
        <xdr:graphicFrame macro="">
          <xdr:nvGraphicFramePr>
            <xdr:cNvPr id="2" name="Product "/>
            <xdr:cNvGraphicFramePr/>
          </xdr:nvGraphicFramePr>
          <xdr:xfrm>
            <a:off x="0" y="0"/>
            <a:ext cx="0" cy="0"/>
          </xdr:xfrm>
          <a:graphic>
            <a:graphicData uri="http://schemas.microsoft.com/office/drawing/2010/slicer">
              <sle:slicer xmlns:sle="http://schemas.microsoft.com/office/drawing/2010/slicer" name="Product "/>
            </a:graphicData>
          </a:graphic>
        </xdr:graphicFrame>
      </mc:Choice>
      <mc:Fallback>
        <xdr:sp macro="" textlink="">
          <xdr:nvSpPr>
            <xdr:cNvPr id="0" name=""/>
            <xdr:cNvSpPr>
              <a:spLocks noTextEdit="1"/>
            </xdr:cNvSpPr>
          </xdr:nvSpPr>
          <xdr:spPr>
            <a:xfrm>
              <a:off x="6324600" y="2914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16</xdr:col>
      <xdr:colOff>600075</xdr:colOff>
      <xdr:row>4</xdr:row>
      <xdr:rowOff>180975</xdr:rowOff>
    </xdr:to>
    <xdr:sp macro="" textlink="">
      <xdr:nvSpPr>
        <xdr:cNvPr id="2" name="Rectangle 1"/>
        <xdr:cNvSpPr/>
      </xdr:nvSpPr>
      <xdr:spPr>
        <a:xfrm>
          <a:off x="0" y="0"/>
          <a:ext cx="10353675" cy="9429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ln>
              <a:noFill/>
            </a:ln>
          </a:endParaRPr>
        </a:p>
      </xdr:txBody>
    </xdr:sp>
    <xdr:clientData/>
  </xdr:twoCellAnchor>
  <xdr:twoCellAnchor>
    <xdr:from>
      <xdr:col>2</xdr:col>
      <xdr:colOff>381000</xdr:colOff>
      <xdr:row>0</xdr:row>
      <xdr:rowOff>104775</xdr:rowOff>
    </xdr:from>
    <xdr:to>
      <xdr:col>13</xdr:col>
      <xdr:colOff>276225</xdr:colOff>
      <xdr:row>3</xdr:row>
      <xdr:rowOff>76200</xdr:rowOff>
    </xdr:to>
    <xdr:sp macro="" textlink="">
      <xdr:nvSpPr>
        <xdr:cNvPr id="3" name="TextBox 2"/>
        <xdr:cNvSpPr txBox="1"/>
      </xdr:nvSpPr>
      <xdr:spPr>
        <a:xfrm>
          <a:off x="1600200" y="104775"/>
          <a:ext cx="6600825" cy="5429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200">
              <a:ln>
                <a:noFill/>
              </a:ln>
            </a:rPr>
            <a:t>      Sales Performance DashBoard</a:t>
          </a:r>
        </a:p>
        <a:p>
          <a:endParaRPr lang="en-IN" sz="3200">
            <a:ln>
              <a:noFill/>
            </a:ln>
          </a:endParaRPr>
        </a:p>
      </xdr:txBody>
    </xdr:sp>
    <xdr:clientData/>
  </xdr:twoCellAnchor>
  <xdr:twoCellAnchor>
    <xdr:from>
      <xdr:col>0</xdr:col>
      <xdr:colOff>0</xdr:colOff>
      <xdr:row>6</xdr:row>
      <xdr:rowOff>0</xdr:rowOff>
    </xdr:from>
    <xdr:to>
      <xdr:col>7</xdr:col>
      <xdr:colOff>304800</xdr:colOff>
      <xdr:row>20</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19049</xdr:colOff>
      <xdr:row>6</xdr:row>
      <xdr:rowOff>9525</xdr:rowOff>
    </xdr:from>
    <xdr:to>
      <xdr:col>15</xdr:col>
      <xdr:colOff>28574</xdr:colOff>
      <xdr:row>20</xdr:row>
      <xdr:rowOff>38100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22</xdr:row>
      <xdr:rowOff>9525</xdr:rowOff>
    </xdr:from>
    <xdr:to>
      <xdr:col>7</xdr:col>
      <xdr:colOff>304800</xdr:colOff>
      <xdr:row>36</xdr:row>
      <xdr:rowOff>85725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41.51983020833" createdVersion="5" refreshedVersion="5" minRefreshableVersion="3" recordCount="10">
  <cacheSource type="worksheet">
    <worksheetSource ref="A1:I11" sheet="Sheet1"/>
  </cacheSource>
  <cacheFields count="9">
    <cacheField name="Transaction ID" numFmtId="0">
      <sharedItems containsSemiMixedTypes="0" containsString="0" containsNumber="1" containsInteger="1" minValue="401" maxValue="410"/>
    </cacheField>
    <cacheField name="Date " numFmtId="14">
      <sharedItems containsSemiMixedTypes="0" containsNonDate="0" containsDate="1" containsString="0" minDate="2026-01-18T00:00:00" maxDate="2026-01-28T00:00:00" count="10">
        <d v="2026-01-18T00:00:00"/>
        <d v="2026-01-19T00:00:00"/>
        <d v="2026-01-20T00:00:00"/>
        <d v="2026-01-21T00:00:00"/>
        <d v="2026-01-22T00:00:00"/>
        <d v="2026-01-23T00:00:00"/>
        <d v="2026-01-24T00:00:00"/>
        <d v="2026-01-25T00:00:00"/>
        <d v="2026-01-26T00:00:00"/>
        <d v="2026-01-27T00:00:00"/>
      </sharedItems>
    </cacheField>
    <cacheField name="Product Category" numFmtId="0">
      <sharedItems count="6">
        <s v="Electronics"/>
        <s v="Furniture"/>
        <s v="Clothing"/>
        <s v="Home Appliances"/>
        <s v="Grocery"/>
        <s v="Foot Ware"/>
      </sharedItems>
    </cacheField>
    <cacheField name="Product " numFmtId="0">
      <sharedItems count="10">
        <s v="Laptop"/>
        <s v="Sofa"/>
        <s v="T-shirt"/>
        <s v="Refrigerator"/>
        <s v="Rice"/>
        <s v="Shoes"/>
        <s v="Shirt"/>
        <s v="Smart Phone"/>
        <s v="Air Conditioner"/>
        <s v="Cooking Oil"/>
      </sharedItems>
    </cacheField>
    <cacheField name="Region " numFmtId="0">
      <sharedItems/>
    </cacheField>
    <cacheField name="Salesperson" numFmtId="0">
      <sharedItems/>
    </cacheField>
    <cacheField name="Units Sold " numFmtId="0">
      <sharedItems containsSemiMixedTypes="0" containsString="0" containsNumber="1" containsInteger="1" minValue="5" maxValue="20"/>
    </cacheField>
    <cacheField name="Unit Price" numFmtId="0">
      <sharedItems containsSemiMixedTypes="0" containsString="0" containsNumber="1" containsInteger="1" minValue="200" maxValue="55000"/>
    </cacheField>
    <cacheField name="Total Cost" numFmtId="0">
      <sharedItems containsSemiMixedTypes="0" containsString="0" containsNumber="1" containsInteger="1" minValue="50000" maxValue="3000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
  <r>
    <n v="401"/>
    <x v="0"/>
    <x v="0"/>
    <x v="0"/>
    <s v="North"/>
    <s v="Indu"/>
    <n v="5"/>
    <n v="50000"/>
    <n v="3000000"/>
  </r>
  <r>
    <n v="402"/>
    <x v="1"/>
    <x v="1"/>
    <x v="1"/>
    <s v="South"/>
    <s v="Teja"/>
    <n v="10"/>
    <n v="30000"/>
    <n v="220000"/>
  </r>
  <r>
    <n v="403"/>
    <x v="2"/>
    <x v="2"/>
    <x v="2"/>
    <s v="East"/>
    <s v="Hemanjali"/>
    <n v="12"/>
    <n v="300"/>
    <n v="50000"/>
  </r>
  <r>
    <n v="404"/>
    <x v="3"/>
    <x v="3"/>
    <x v="3"/>
    <s v="North"/>
    <s v="Chidwija"/>
    <n v="7"/>
    <n v="35000"/>
    <n v="250000"/>
  </r>
  <r>
    <n v="405"/>
    <x v="4"/>
    <x v="4"/>
    <x v="4"/>
    <s v="West"/>
    <s v="Chanakya"/>
    <n v="15"/>
    <n v="1500"/>
    <n v="75000"/>
  </r>
  <r>
    <n v="406"/>
    <x v="5"/>
    <x v="5"/>
    <x v="5"/>
    <s v="South"/>
    <s v="Vasu"/>
    <n v="8"/>
    <n v="2000"/>
    <n v="150000"/>
  </r>
  <r>
    <n v="407"/>
    <x v="6"/>
    <x v="2"/>
    <x v="6"/>
    <s v="East"/>
    <s v="Santhi"/>
    <n v="20"/>
    <n v="600"/>
    <n v="150000"/>
  </r>
  <r>
    <n v="408"/>
    <x v="7"/>
    <x v="0"/>
    <x v="7"/>
    <s v="North"/>
    <s v="Yamuna"/>
    <n v="5"/>
    <n v="35000"/>
    <n v="200000"/>
  </r>
  <r>
    <n v="409"/>
    <x v="8"/>
    <x v="3"/>
    <x v="8"/>
    <s v="West"/>
    <s v="Jyothika"/>
    <n v="7"/>
    <n v="55000"/>
    <n v="350000"/>
  </r>
  <r>
    <n v="410"/>
    <x v="9"/>
    <x v="4"/>
    <x v="9"/>
    <s v="South"/>
    <s v="Chandini"/>
    <n v="10"/>
    <n v="200"/>
    <n v="8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0">
  <location ref="G3:K14" firstHeaderRow="0" firstDataRow="1" firstDataCol="1"/>
  <pivotFields count="9">
    <pivotField dataField="1" showAll="0"/>
    <pivotField axis="axisRow" numFmtId="14" showAll="0">
      <items count="11">
        <item x="0"/>
        <item x="1"/>
        <item x="2"/>
        <item x="3"/>
        <item x="4"/>
        <item x="5"/>
        <item x="6"/>
        <item x="7"/>
        <item x="8"/>
        <item x="9"/>
        <item t="default"/>
      </items>
    </pivotField>
    <pivotField showAll="0">
      <items count="7">
        <item x="2"/>
        <item x="0"/>
        <item x="5"/>
        <item x="1"/>
        <item x="4"/>
        <item x="3"/>
        <item t="default"/>
      </items>
    </pivotField>
    <pivotField showAll="0">
      <items count="11">
        <item x="8"/>
        <item x="9"/>
        <item x="0"/>
        <item x="3"/>
        <item x="4"/>
        <item x="6"/>
        <item x="5"/>
        <item x="7"/>
        <item x="1"/>
        <item x="2"/>
        <item t="default"/>
      </items>
    </pivotField>
    <pivotField showAll="0"/>
    <pivotField showAll="0"/>
    <pivotField dataField="1" showAll="0"/>
    <pivotField dataField="1" showAll="0"/>
    <pivotField dataField="1" showAll="0"/>
  </pivotFields>
  <rowFields count="1">
    <field x="1"/>
  </rowFields>
  <rowItems count="11">
    <i>
      <x/>
    </i>
    <i>
      <x v="1"/>
    </i>
    <i>
      <x v="2"/>
    </i>
    <i>
      <x v="3"/>
    </i>
    <i>
      <x v="4"/>
    </i>
    <i>
      <x v="5"/>
    </i>
    <i>
      <x v="6"/>
    </i>
    <i>
      <x v="7"/>
    </i>
    <i>
      <x v="8"/>
    </i>
    <i>
      <x v="9"/>
    </i>
    <i t="grand">
      <x/>
    </i>
  </rowItems>
  <colFields count="1">
    <field x="-2"/>
  </colFields>
  <colItems count="4">
    <i>
      <x/>
    </i>
    <i i="1">
      <x v="1"/>
    </i>
    <i i="2">
      <x v="2"/>
    </i>
    <i i="3">
      <x v="3"/>
    </i>
  </colItems>
  <dataFields count="4">
    <dataField name="Sum of Transaction ID" fld="0" baseField="0" baseItem="0"/>
    <dataField name="Sum of Units Sold " fld="6" baseField="0" baseItem="0"/>
    <dataField name="Sum of Unit Price" fld="7" baseField="0" baseItem="0"/>
    <dataField name="Sum of Total Cost" fld="8" baseField="0" baseItem="0"/>
  </dataFields>
  <chartFormats count="4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8" format="48" series="1">
      <pivotArea type="data" outline="0" fieldPosition="0">
        <references count="1">
          <reference field="4294967294" count="1" selected="0">
            <x v="0"/>
          </reference>
        </references>
      </pivotArea>
    </chartFormat>
    <chartFormat chart="8" format="49">
      <pivotArea type="data" outline="0" fieldPosition="0">
        <references count="2">
          <reference field="4294967294" count="1" selected="0">
            <x v="0"/>
          </reference>
          <reference field="1" count="1" selected="0">
            <x v="0"/>
          </reference>
        </references>
      </pivotArea>
    </chartFormat>
    <chartFormat chart="8" format="50">
      <pivotArea type="data" outline="0" fieldPosition="0">
        <references count="2">
          <reference field="4294967294" count="1" selected="0">
            <x v="0"/>
          </reference>
          <reference field="1" count="1" selected="0">
            <x v="1"/>
          </reference>
        </references>
      </pivotArea>
    </chartFormat>
    <chartFormat chart="8" format="51">
      <pivotArea type="data" outline="0" fieldPosition="0">
        <references count="2">
          <reference field="4294967294" count="1" selected="0">
            <x v="0"/>
          </reference>
          <reference field="1" count="1" selected="0">
            <x v="2"/>
          </reference>
        </references>
      </pivotArea>
    </chartFormat>
    <chartFormat chart="8" format="52">
      <pivotArea type="data" outline="0" fieldPosition="0">
        <references count="2">
          <reference field="4294967294" count="1" selected="0">
            <x v="0"/>
          </reference>
          <reference field="1" count="1" selected="0">
            <x v="3"/>
          </reference>
        </references>
      </pivotArea>
    </chartFormat>
    <chartFormat chart="8" format="53">
      <pivotArea type="data" outline="0" fieldPosition="0">
        <references count="2">
          <reference field="4294967294" count="1" selected="0">
            <x v="0"/>
          </reference>
          <reference field="1" count="1" selected="0">
            <x v="4"/>
          </reference>
        </references>
      </pivotArea>
    </chartFormat>
    <chartFormat chart="8" format="54">
      <pivotArea type="data" outline="0" fieldPosition="0">
        <references count="2">
          <reference field="4294967294" count="1" selected="0">
            <x v="0"/>
          </reference>
          <reference field="1" count="1" selected="0">
            <x v="5"/>
          </reference>
        </references>
      </pivotArea>
    </chartFormat>
    <chartFormat chart="8" format="55">
      <pivotArea type="data" outline="0" fieldPosition="0">
        <references count="2">
          <reference field="4294967294" count="1" selected="0">
            <x v="0"/>
          </reference>
          <reference field="1" count="1" selected="0">
            <x v="6"/>
          </reference>
        </references>
      </pivotArea>
    </chartFormat>
    <chartFormat chart="8" format="56">
      <pivotArea type="data" outline="0" fieldPosition="0">
        <references count="2">
          <reference field="4294967294" count="1" selected="0">
            <x v="0"/>
          </reference>
          <reference field="1" count="1" selected="0">
            <x v="7"/>
          </reference>
        </references>
      </pivotArea>
    </chartFormat>
    <chartFormat chart="8" format="57">
      <pivotArea type="data" outline="0" fieldPosition="0">
        <references count="2">
          <reference field="4294967294" count="1" selected="0">
            <x v="0"/>
          </reference>
          <reference field="1" count="1" selected="0">
            <x v="8"/>
          </reference>
        </references>
      </pivotArea>
    </chartFormat>
    <chartFormat chart="8" format="58">
      <pivotArea type="data" outline="0" fieldPosition="0">
        <references count="2">
          <reference field="4294967294" count="1" selected="0">
            <x v="0"/>
          </reference>
          <reference field="1" count="1" selected="0">
            <x v="9"/>
          </reference>
        </references>
      </pivotArea>
    </chartFormat>
    <chartFormat chart="8" format="59" series="1">
      <pivotArea type="data" outline="0" fieldPosition="0">
        <references count="1">
          <reference field="4294967294" count="1" selected="0">
            <x v="1"/>
          </reference>
        </references>
      </pivotArea>
    </chartFormat>
    <chartFormat chart="8" format="60">
      <pivotArea type="data" outline="0" fieldPosition="0">
        <references count="2">
          <reference field="4294967294" count="1" selected="0">
            <x v="1"/>
          </reference>
          <reference field="1" count="1" selected="0">
            <x v="0"/>
          </reference>
        </references>
      </pivotArea>
    </chartFormat>
    <chartFormat chart="8" format="61">
      <pivotArea type="data" outline="0" fieldPosition="0">
        <references count="2">
          <reference field="4294967294" count="1" selected="0">
            <x v="1"/>
          </reference>
          <reference field="1" count="1" selected="0">
            <x v="1"/>
          </reference>
        </references>
      </pivotArea>
    </chartFormat>
    <chartFormat chart="8" format="62">
      <pivotArea type="data" outline="0" fieldPosition="0">
        <references count="2">
          <reference field="4294967294" count="1" selected="0">
            <x v="1"/>
          </reference>
          <reference field="1" count="1" selected="0">
            <x v="2"/>
          </reference>
        </references>
      </pivotArea>
    </chartFormat>
    <chartFormat chart="8" format="63">
      <pivotArea type="data" outline="0" fieldPosition="0">
        <references count="2">
          <reference field="4294967294" count="1" selected="0">
            <x v="1"/>
          </reference>
          <reference field="1" count="1" selected="0">
            <x v="3"/>
          </reference>
        </references>
      </pivotArea>
    </chartFormat>
    <chartFormat chart="8" format="64">
      <pivotArea type="data" outline="0" fieldPosition="0">
        <references count="2">
          <reference field="4294967294" count="1" selected="0">
            <x v="1"/>
          </reference>
          <reference field="1" count="1" selected="0">
            <x v="4"/>
          </reference>
        </references>
      </pivotArea>
    </chartFormat>
    <chartFormat chart="8" format="65">
      <pivotArea type="data" outline="0" fieldPosition="0">
        <references count="2">
          <reference field="4294967294" count="1" selected="0">
            <x v="1"/>
          </reference>
          <reference field="1" count="1" selected="0">
            <x v="5"/>
          </reference>
        </references>
      </pivotArea>
    </chartFormat>
    <chartFormat chart="8" format="66">
      <pivotArea type="data" outline="0" fieldPosition="0">
        <references count="2">
          <reference field="4294967294" count="1" selected="0">
            <x v="1"/>
          </reference>
          <reference field="1" count="1" selected="0">
            <x v="6"/>
          </reference>
        </references>
      </pivotArea>
    </chartFormat>
    <chartFormat chart="8" format="67">
      <pivotArea type="data" outline="0" fieldPosition="0">
        <references count="2">
          <reference field="4294967294" count="1" selected="0">
            <x v="1"/>
          </reference>
          <reference field="1" count="1" selected="0">
            <x v="7"/>
          </reference>
        </references>
      </pivotArea>
    </chartFormat>
    <chartFormat chart="8" format="68">
      <pivotArea type="data" outline="0" fieldPosition="0">
        <references count="2">
          <reference field="4294967294" count="1" selected="0">
            <x v="1"/>
          </reference>
          <reference field="1" count="1" selected="0">
            <x v="8"/>
          </reference>
        </references>
      </pivotArea>
    </chartFormat>
    <chartFormat chart="8" format="69">
      <pivotArea type="data" outline="0" fieldPosition="0">
        <references count="2">
          <reference field="4294967294" count="1" selected="0">
            <x v="1"/>
          </reference>
          <reference field="1" count="1" selected="0">
            <x v="9"/>
          </reference>
        </references>
      </pivotArea>
    </chartFormat>
    <chartFormat chart="8" format="70" series="1">
      <pivotArea type="data" outline="0" fieldPosition="0">
        <references count="1">
          <reference field="4294967294" count="1" selected="0">
            <x v="2"/>
          </reference>
        </references>
      </pivotArea>
    </chartFormat>
    <chartFormat chart="8" format="71">
      <pivotArea type="data" outline="0" fieldPosition="0">
        <references count="2">
          <reference field="4294967294" count="1" selected="0">
            <x v="2"/>
          </reference>
          <reference field="1" count="1" selected="0">
            <x v="0"/>
          </reference>
        </references>
      </pivotArea>
    </chartFormat>
    <chartFormat chart="8" format="72">
      <pivotArea type="data" outline="0" fieldPosition="0">
        <references count="2">
          <reference field="4294967294" count="1" selected="0">
            <x v="2"/>
          </reference>
          <reference field="1" count="1" selected="0">
            <x v="1"/>
          </reference>
        </references>
      </pivotArea>
    </chartFormat>
    <chartFormat chart="8" format="73">
      <pivotArea type="data" outline="0" fieldPosition="0">
        <references count="2">
          <reference field="4294967294" count="1" selected="0">
            <x v="2"/>
          </reference>
          <reference field="1" count="1" selected="0">
            <x v="2"/>
          </reference>
        </references>
      </pivotArea>
    </chartFormat>
    <chartFormat chart="8" format="74">
      <pivotArea type="data" outline="0" fieldPosition="0">
        <references count="2">
          <reference field="4294967294" count="1" selected="0">
            <x v="2"/>
          </reference>
          <reference field="1" count="1" selected="0">
            <x v="3"/>
          </reference>
        </references>
      </pivotArea>
    </chartFormat>
    <chartFormat chart="8" format="75">
      <pivotArea type="data" outline="0" fieldPosition="0">
        <references count="2">
          <reference field="4294967294" count="1" selected="0">
            <x v="2"/>
          </reference>
          <reference field="1" count="1" selected="0">
            <x v="4"/>
          </reference>
        </references>
      </pivotArea>
    </chartFormat>
    <chartFormat chart="8" format="76">
      <pivotArea type="data" outline="0" fieldPosition="0">
        <references count="2">
          <reference field="4294967294" count="1" selected="0">
            <x v="2"/>
          </reference>
          <reference field="1" count="1" selected="0">
            <x v="5"/>
          </reference>
        </references>
      </pivotArea>
    </chartFormat>
    <chartFormat chart="8" format="77">
      <pivotArea type="data" outline="0" fieldPosition="0">
        <references count="2">
          <reference field="4294967294" count="1" selected="0">
            <x v="2"/>
          </reference>
          <reference field="1" count="1" selected="0">
            <x v="6"/>
          </reference>
        </references>
      </pivotArea>
    </chartFormat>
    <chartFormat chart="8" format="78">
      <pivotArea type="data" outline="0" fieldPosition="0">
        <references count="2">
          <reference field="4294967294" count="1" selected="0">
            <x v="2"/>
          </reference>
          <reference field="1" count="1" selected="0">
            <x v="7"/>
          </reference>
        </references>
      </pivotArea>
    </chartFormat>
    <chartFormat chart="8" format="79">
      <pivotArea type="data" outline="0" fieldPosition="0">
        <references count="2">
          <reference field="4294967294" count="1" selected="0">
            <x v="2"/>
          </reference>
          <reference field="1" count="1" selected="0">
            <x v="8"/>
          </reference>
        </references>
      </pivotArea>
    </chartFormat>
    <chartFormat chart="8" format="80">
      <pivotArea type="data" outline="0" fieldPosition="0">
        <references count="2">
          <reference field="4294967294" count="1" selected="0">
            <x v="2"/>
          </reference>
          <reference field="1" count="1" selected="0">
            <x v="9"/>
          </reference>
        </references>
      </pivotArea>
    </chartFormat>
    <chartFormat chart="8" format="81" series="1">
      <pivotArea type="data" outline="0" fieldPosition="0">
        <references count="1">
          <reference field="4294967294" count="1" selected="0">
            <x v="3"/>
          </reference>
        </references>
      </pivotArea>
    </chartFormat>
    <chartFormat chart="8" format="82">
      <pivotArea type="data" outline="0" fieldPosition="0">
        <references count="2">
          <reference field="4294967294" count="1" selected="0">
            <x v="3"/>
          </reference>
          <reference field="1" count="1" selected="0">
            <x v="0"/>
          </reference>
        </references>
      </pivotArea>
    </chartFormat>
    <chartFormat chart="8" format="83">
      <pivotArea type="data" outline="0" fieldPosition="0">
        <references count="2">
          <reference field="4294967294" count="1" selected="0">
            <x v="3"/>
          </reference>
          <reference field="1" count="1" selected="0">
            <x v="1"/>
          </reference>
        </references>
      </pivotArea>
    </chartFormat>
    <chartFormat chart="8" format="84">
      <pivotArea type="data" outline="0" fieldPosition="0">
        <references count="2">
          <reference field="4294967294" count="1" selected="0">
            <x v="3"/>
          </reference>
          <reference field="1" count="1" selected="0">
            <x v="2"/>
          </reference>
        </references>
      </pivotArea>
    </chartFormat>
    <chartFormat chart="8" format="85">
      <pivotArea type="data" outline="0" fieldPosition="0">
        <references count="2">
          <reference field="4294967294" count="1" selected="0">
            <x v="3"/>
          </reference>
          <reference field="1" count="1" selected="0">
            <x v="3"/>
          </reference>
        </references>
      </pivotArea>
    </chartFormat>
    <chartFormat chart="8" format="86">
      <pivotArea type="data" outline="0" fieldPosition="0">
        <references count="2">
          <reference field="4294967294" count="1" selected="0">
            <x v="3"/>
          </reference>
          <reference field="1" count="1" selected="0">
            <x v="4"/>
          </reference>
        </references>
      </pivotArea>
    </chartFormat>
    <chartFormat chart="8" format="87">
      <pivotArea type="data" outline="0" fieldPosition="0">
        <references count="2">
          <reference field="4294967294" count="1" selected="0">
            <x v="3"/>
          </reference>
          <reference field="1" count="1" selected="0">
            <x v="5"/>
          </reference>
        </references>
      </pivotArea>
    </chartFormat>
    <chartFormat chart="8" format="88">
      <pivotArea type="data" outline="0" fieldPosition="0">
        <references count="2">
          <reference field="4294967294" count="1" selected="0">
            <x v="3"/>
          </reference>
          <reference field="1" count="1" selected="0">
            <x v="6"/>
          </reference>
        </references>
      </pivotArea>
    </chartFormat>
    <chartFormat chart="8" format="89">
      <pivotArea type="data" outline="0" fieldPosition="0">
        <references count="2">
          <reference field="4294967294" count="1" selected="0">
            <x v="3"/>
          </reference>
          <reference field="1" count="1" selected="0">
            <x v="7"/>
          </reference>
        </references>
      </pivotArea>
    </chartFormat>
    <chartFormat chart="8" format="90">
      <pivotArea type="data" outline="0" fieldPosition="0">
        <references count="2">
          <reference field="4294967294" count="1" selected="0">
            <x v="3"/>
          </reference>
          <reference field="1" count="1" selected="0">
            <x v="8"/>
          </reference>
        </references>
      </pivotArea>
    </chartFormat>
    <chartFormat chart="8" format="91">
      <pivotArea type="data" outline="0" fieldPosition="0">
        <references count="2">
          <reference field="4294967294" count="1" selected="0">
            <x v="3"/>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17:E28" firstHeaderRow="0" firstDataRow="1" firstDataCol="1"/>
  <pivotFields count="9">
    <pivotField dataField="1" showAll="0"/>
    <pivotField axis="axisRow" numFmtId="14" showAll="0">
      <items count="11">
        <item x="0"/>
        <item x="1"/>
        <item x="2"/>
        <item x="3"/>
        <item x="4"/>
        <item x="5"/>
        <item x="6"/>
        <item x="7"/>
        <item x="8"/>
        <item x="9"/>
        <item t="default"/>
      </items>
    </pivotField>
    <pivotField showAll="0">
      <items count="7">
        <item x="2"/>
        <item x="0"/>
        <item x="5"/>
        <item x="1"/>
        <item x="4"/>
        <item x="3"/>
        <item t="default"/>
      </items>
    </pivotField>
    <pivotField showAll="0">
      <items count="11">
        <item x="8"/>
        <item x="9"/>
        <item x="0"/>
        <item x="3"/>
        <item x="4"/>
        <item x="6"/>
        <item x="5"/>
        <item x="7"/>
        <item x="1"/>
        <item x="2"/>
        <item t="default"/>
      </items>
    </pivotField>
    <pivotField showAll="0"/>
    <pivotField showAll="0"/>
    <pivotField dataField="1" showAll="0"/>
    <pivotField dataField="1" showAll="0"/>
    <pivotField dataField="1" showAll="0"/>
  </pivotFields>
  <rowFields count="1">
    <field x="1"/>
  </rowFields>
  <rowItems count="11">
    <i>
      <x/>
    </i>
    <i>
      <x v="1"/>
    </i>
    <i>
      <x v="2"/>
    </i>
    <i>
      <x v="3"/>
    </i>
    <i>
      <x v="4"/>
    </i>
    <i>
      <x v="5"/>
    </i>
    <i>
      <x v="6"/>
    </i>
    <i>
      <x v="7"/>
    </i>
    <i>
      <x v="8"/>
    </i>
    <i>
      <x v="9"/>
    </i>
    <i t="grand">
      <x/>
    </i>
  </rowItems>
  <colFields count="1">
    <field x="-2"/>
  </colFields>
  <colItems count="4">
    <i>
      <x/>
    </i>
    <i i="1">
      <x v="1"/>
    </i>
    <i i="2">
      <x v="2"/>
    </i>
    <i i="3">
      <x v="3"/>
    </i>
  </colItems>
  <dataFields count="4">
    <dataField name="Sum of Transaction ID" fld="0" baseField="0" baseItem="0"/>
    <dataField name="Sum of Units Sold " fld="6" baseField="0" baseItem="0"/>
    <dataField name="Sum of Unit Price" fld="7" baseField="0" baseItem="0"/>
    <dataField name="Sum of Total Cost" fld="8" baseField="0" baseItem="0"/>
  </dataFields>
  <chartFormats count="12">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2"/>
          </reference>
        </references>
      </pivotArea>
    </chartFormat>
    <chartFormat chart="14" format="11" series="1">
      <pivotArea type="data" outline="0" fieldPosition="0">
        <references count="1">
          <reference field="4294967294" count="1" selected="0">
            <x v="3"/>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series="1">
      <pivotArea type="data" outline="0" fieldPosition="0">
        <references count="1">
          <reference field="4294967294" count="1" selected="0">
            <x v="2"/>
          </reference>
        </references>
      </pivotArea>
    </chartFormat>
    <chartFormat chart="15"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location ref="A3:E14" firstHeaderRow="0" firstDataRow="1" firstDataCol="1"/>
  <pivotFields count="9">
    <pivotField dataField="1" showAll="0"/>
    <pivotField axis="axisRow" numFmtId="14" showAll="0">
      <items count="11">
        <item x="0"/>
        <item x="1"/>
        <item x="2"/>
        <item x="3"/>
        <item x="4"/>
        <item x="5"/>
        <item x="6"/>
        <item x="7"/>
        <item x="8"/>
        <item x="9"/>
        <item t="default"/>
      </items>
    </pivotField>
    <pivotField showAll="0">
      <items count="7">
        <item x="2"/>
        <item x="0"/>
        <item x="5"/>
        <item x="1"/>
        <item x="4"/>
        <item x="3"/>
        <item t="default"/>
      </items>
    </pivotField>
    <pivotField showAll="0">
      <items count="11">
        <item x="8"/>
        <item x="9"/>
        <item x="0"/>
        <item x="3"/>
        <item x="4"/>
        <item x="6"/>
        <item x="5"/>
        <item x="7"/>
        <item x="1"/>
        <item x="2"/>
        <item t="default"/>
      </items>
    </pivotField>
    <pivotField showAll="0"/>
    <pivotField showAll="0"/>
    <pivotField dataField="1" showAll="0"/>
    <pivotField dataField="1" showAll="0"/>
    <pivotField dataField="1" showAll="0"/>
  </pivotFields>
  <rowFields count="1">
    <field x="1"/>
  </rowFields>
  <rowItems count="11">
    <i>
      <x/>
    </i>
    <i>
      <x v="1"/>
    </i>
    <i>
      <x v="2"/>
    </i>
    <i>
      <x v="3"/>
    </i>
    <i>
      <x v="4"/>
    </i>
    <i>
      <x v="5"/>
    </i>
    <i>
      <x v="6"/>
    </i>
    <i>
      <x v="7"/>
    </i>
    <i>
      <x v="8"/>
    </i>
    <i>
      <x v="9"/>
    </i>
    <i t="grand">
      <x/>
    </i>
  </rowItems>
  <colFields count="1">
    <field x="-2"/>
  </colFields>
  <colItems count="4">
    <i>
      <x/>
    </i>
    <i i="1">
      <x v="1"/>
    </i>
    <i i="2">
      <x v="2"/>
    </i>
    <i i="3">
      <x v="3"/>
    </i>
  </colItems>
  <dataFields count="4">
    <dataField name="Sum of Transaction ID" fld="0" baseField="0" baseItem="0"/>
    <dataField name="Sum of Units Sold " fld="6" baseField="0" baseItem="0"/>
    <dataField name="Sum of Unit Price" fld="7" baseField="0" baseItem="0"/>
    <dataField name="Sum of Total Cost" fld="8" baseField="0" baseItem="0"/>
  </dataFields>
  <chartFormats count="8">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2"/>
          </reference>
        </references>
      </pivotArea>
    </chartFormat>
    <chartFormat chart="8"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
  <pivotTables>
    <pivotTable tabId="3" name="PivotTable1"/>
  </pivotTables>
  <data>
    <tabular pivotCacheId="1">
      <items count="10">
        <i x="8" s="1"/>
        <i x="9" s="1"/>
        <i x="0" s="1"/>
        <i x="3" s="1"/>
        <i x="4" s="1"/>
        <i x="6" s="1"/>
        <i x="5" s="1"/>
        <i x="7"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 cache="Slicer_Product" caption="Product "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8"/>
  <sheetViews>
    <sheetView workbookViewId="0">
      <selection activeCell="F15" sqref="F15"/>
    </sheetView>
  </sheetViews>
  <sheetFormatPr defaultRowHeight="15" x14ac:dyDescent="0.25"/>
  <cols>
    <col min="1" max="1" width="13.140625" customWidth="1"/>
    <col min="2" max="2" width="20.28515625" bestFit="1" customWidth="1"/>
    <col min="3" max="3" width="17.28515625" bestFit="1" customWidth="1"/>
    <col min="4" max="5" width="16.42578125" customWidth="1"/>
    <col min="6" max="6" width="16.42578125" bestFit="1" customWidth="1"/>
    <col min="7" max="7" width="12.28515625" customWidth="1"/>
    <col min="10" max="10" width="16.42578125" bestFit="1" customWidth="1"/>
    <col min="11" max="11" width="17.42578125" customWidth="1"/>
  </cols>
  <sheetData>
    <row r="3" spans="1:11" x14ac:dyDescent="0.25">
      <c r="A3" s="3" t="s">
        <v>40</v>
      </c>
      <c r="B3" t="s">
        <v>39</v>
      </c>
      <c r="C3" t="s">
        <v>42</v>
      </c>
      <c r="D3" t="s">
        <v>43</v>
      </c>
      <c r="E3" t="s">
        <v>44</v>
      </c>
      <c r="G3" s="3" t="s">
        <v>40</v>
      </c>
      <c r="H3" s="3" t="s">
        <v>39</v>
      </c>
      <c r="I3" t="s">
        <v>42</v>
      </c>
      <c r="J3" t="s">
        <v>43</v>
      </c>
      <c r="K3" t="s">
        <v>44</v>
      </c>
    </row>
    <row r="4" spans="1:11" x14ac:dyDescent="0.25">
      <c r="A4" s="4">
        <v>46040</v>
      </c>
      <c r="B4" s="2">
        <v>401</v>
      </c>
      <c r="C4" s="2">
        <v>5</v>
      </c>
      <c r="D4" s="2">
        <v>50000</v>
      </c>
      <c r="E4" s="2">
        <v>3000000</v>
      </c>
      <c r="G4" s="4">
        <v>46040</v>
      </c>
      <c r="H4" s="2">
        <v>401</v>
      </c>
      <c r="I4" s="2">
        <v>5</v>
      </c>
      <c r="J4" s="2">
        <v>50000</v>
      </c>
      <c r="K4" s="2">
        <v>3000000</v>
      </c>
    </row>
    <row r="5" spans="1:11" x14ac:dyDescent="0.25">
      <c r="A5" s="4">
        <v>46041</v>
      </c>
      <c r="B5" s="2">
        <v>402</v>
      </c>
      <c r="C5" s="2">
        <v>10</v>
      </c>
      <c r="D5" s="2">
        <v>30000</v>
      </c>
      <c r="E5" s="2">
        <v>220000</v>
      </c>
      <c r="F5" s="4"/>
      <c r="G5" s="4">
        <v>46041</v>
      </c>
      <c r="H5" s="2">
        <v>402</v>
      </c>
      <c r="I5" s="2">
        <v>10</v>
      </c>
      <c r="J5" s="2">
        <v>30000</v>
      </c>
      <c r="K5" s="2">
        <v>220000</v>
      </c>
    </row>
    <row r="6" spans="1:11" x14ac:dyDescent="0.25">
      <c r="A6" s="4">
        <v>46042</v>
      </c>
      <c r="B6" s="2">
        <v>403</v>
      </c>
      <c r="C6" s="2">
        <v>12</v>
      </c>
      <c r="D6" s="2">
        <v>300</v>
      </c>
      <c r="E6" s="2">
        <v>50000</v>
      </c>
      <c r="F6" s="4"/>
      <c r="G6" s="4">
        <v>46042</v>
      </c>
      <c r="H6" s="2">
        <v>403</v>
      </c>
      <c r="I6" s="2">
        <v>12</v>
      </c>
      <c r="J6" s="2">
        <v>300</v>
      </c>
      <c r="K6" s="2">
        <v>50000</v>
      </c>
    </row>
    <row r="7" spans="1:11" x14ac:dyDescent="0.25">
      <c r="A7" s="4">
        <v>46043</v>
      </c>
      <c r="B7" s="2">
        <v>404</v>
      </c>
      <c r="C7" s="2">
        <v>7</v>
      </c>
      <c r="D7" s="2">
        <v>35000</v>
      </c>
      <c r="E7" s="2">
        <v>250000</v>
      </c>
      <c r="F7" s="4"/>
      <c r="G7" s="4">
        <v>46043</v>
      </c>
      <c r="H7" s="2">
        <v>404</v>
      </c>
      <c r="I7" s="2">
        <v>7</v>
      </c>
      <c r="J7" s="2">
        <v>35000</v>
      </c>
      <c r="K7" s="2">
        <v>250000</v>
      </c>
    </row>
    <row r="8" spans="1:11" x14ac:dyDescent="0.25">
      <c r="A8" s="4">
        <v>46044</v>
      </c>
      <c r="B8" s="2">
        <v>405</v>
      </c>
      <c r="C8" s="2">
        <v>15</v>
      </c>
      <c r="D8" s="2">
        <v>1500</v>
      </c>
      <c r="E8" s="2">
        <v>75000</v>
      </c>
      <c r="F8" s="4"/>
      <c r="G8" s="4">
        <v>46044</v>
      </c>
      <c r="H8" s="2">
        <v>405</v>
      </c>
      <c r="I8" s="2">
        <v>15</v>
      </c>
      <c r="J8" s="2">
        <v>1500</v>
      </c>
      <c r="K8" s="2">
        <v>75000</v>
      </c>
    </row>
    <row r="9" spans="1:11" x14ac:dyDescent="0.25">
      <c r="A9" s="4">
        <v>46045</v>
      </c>
      <c r="B9" s="2">
        <v>406</v>
      </c>
      <c r="C9" s="2">
        <v>8</v>
      </c>
      <c r="D9" s="2">
        <v>2000</v>
      </c>
      <c r="E9" s="2">
        <v>150000</v>
      </c>
      <c r="F9" s="4"/>
      <c r="G9" s="4">
        <v>46045</v>
      </c>
      <c r="H9" s="2">
        <v>406</v>
      </c>
      <c r="I9" s="2">
        <v>8</v>
      </c>
      <c r="J9" s="2">
        <v>2000</v>
      </c>
      <c r="K9" s="2">
        <v>150000</v>
      </c>
    </row>
    <row r="10" spans="1:11" x14ac:dyDescent="0.25">
      <c r="A10" s="4">
        <v>46046</v>
      </c>
      <c r="B10" s="2">
        <v>407</v>
      </c>
      <c r="C10" s="2">
        <v>20</v>
      </c>
      <c r="D10" s="2">
        <v>600</v>
      </c>
      <c r="E10" s="2">
        <v>150000</v>
      </c>
      <c r="F10" s="4"/>
      <c r="G10" s="4">
        <v>46046</v>
      </c>
      <c r="H10" s="2">
        <v>407</v>
      </c>
      <c r="I10" s="2">
        <v>20</v>
      </c>
      <c r="J10" s="2">
        <v>600</v>
      </c>
      <c r="K10" s="2">
        <v>150000</v>
      </c>
    </row>
    <row r="11" spans="1:11" x14ac:dyDescent="0.25">
      <c r="A11" s="4">
        <v>46047</v>
      </c>
      <c r="B11" s="2">
        <v>408</v>
      </c>
      <c r="C11" s="2">
        <v>5</v>
      </c>
      <c r="D11" s="2">
        <v>35000</v>
      </c>
      <c r="E11" s="2">
        <v>200000</v>
      </c>
      <c r="F11" s="4"/>
      <c r="G11" s="4">
        <v>46047</v>
      </c>
      <c r="H11" s="2">
        <v>408</v>
      </c>
      <c r="I11" s="2">
        <v>5</v>
      </c>
      <c r="J11" s="2">
        <v>35000</v>
      </c>
      <c r="K11" s="2">
        <v>200000</v>
      </c>
    </row>
    <row r="12" spans="1:11" x14ac:dyDescent="0.25">
      <c r="A12" s="4">
        <v>46048</v>
      </c>
      <c r="B12" s="2">
        <v>409</v>
      </c>
      <c r="C12" s="2">
        <v>7</v>
      </c>
      <c r="D12" s="2">
        <v>55000</v>
      </c>
      <c r="E12" s="2">
        <v>350000</v>
      </c>
      <c r="F12" s="4"/>
      <c r="G12" s="4">
        <v>46048</v>
      </c>
      <c r="H12" s="2">
        <v>409</v>
      </c>
      <c r="I12" s="2">
        <v>7</v>
      </c>
      <c r="J12" s="2">
        <v>55000</v>
      </c>
      <c r="K12" s="2">
        <v>350000</v>
      </c>
    </row>
    <row r="13" spans="1:11" x14ac:dyDescent="0.25">
      <c r="A13" s="4">
        <v>46049</v>
      </c>
      <c r="B13" s="2">
        <v>410</v>
      </c>
      <c r="C13" s="2">
        <v>10</v>
      </c>
      <c r="D13" s="2">
        <v>200</v>
      </c>
      <c r="E13" s="2">
        <v>85000</v>
      </c>
      <c r="F13" s="4"/>
      <c r="G13" s="4">
        <v>46049</v>
      </c>
      <c r="H13" s="2">
        <v>410</v>
      </c>
      <c r="I13" s="2">
        <v>10</v>
      </c>
      <c r="J13" s="2">
        <v>200</v>
      </c>
      <c r="K13" s="2">
        <v>85000</v>
      </c>
    </row>
    <row r="14" spans="1:11" x14ac:dyDescent="0.25">
      <c r="A14" s="4" t="s">
        <v>41</v>
      </c>
      <c r="B14" s="2">
        <v>4055</v>
      </c>
      <c r="C14" s="2">
        <v>99</v>
      </c>
      <c r="D14" s="2">
        <v>209600</v>
      </c>
      <c r="E14" s="2">
        <v>4530000</v>
      </c>
      <c r="F14" s="4"/>
      <c r="G14" s="4" t="s">
        <v>41</v>
      </c>
      <c r="H14" s="2">
        <v>4055</v>
      </c>
      <c r="I14" s="2">
        <v>99</v>
      </c>
      <c r="J14" s="2">
        <v>209600</v>
      </c>
      <c r="K14" s="2">
        <v>4530000</v>
      </c>
    </row>
    <row r="15" spans="1:11" x14ac:dyDescent="0.25">
      <c r="F15" s="4"/>
      <c r="G15" s="2"/>
      <c r="H15" s="2"/>
      <c r="I15" s="2"/>
      <c r="J15" s="2"/>
    </row>
    <row r="17" spans="1:5" x14ac:dyDescent="0.25">
      <c r="A17" s="3" t="s">
        <v>40</v>
      </c>
      <c r="B17" s="3" t="s">
        <v>39</v>
      </c>
      <c r="C17" t="s">
        <v>42</v>
      </c>
      <c r="D17" t="s">
        <v>43</v>
      </c>
      <c r="E17" t="s">
        <v>44</v>
      </c>
    </row>
    <row r="18" spans="1:5" x14ac:dyDescent="0.25">
      <c r="A18" s="4">
        <v>46040</v>
      </c>
      <c r="B18" s="2">
        <v>401</v>
      </c>
      <c r="C18" s="2">
        <v>5</v>
      </c>
      <c r="D18" s="2">
        <v>50000</v>
      </c>
      <c r="E18" s="2">
        <v>3000000</v>
      </c>
    </row>
    <row r="19" spans="1:5" x14ac:dyDescent="0.25">
      <c r="A19" s="4">
        <v>46041</v>
      </c>
      <c r="B19" s="2">
        <v>402</v>
      </c>
      <c r="C19" s="2">
        <v>10</v>
      </c>
      <c r="D19" s="2">
        <v>30000</v>
      </c>
      <c r="E19" s="2">
        <v>220000</v>
      </c>
    </row>
    <row r="20" spans="1:5" x14ac:dyDescent="0.25">
      <c r="A20" s="4">
        <v>46042</v>
      </c>
      <c r="B20" s="2">
        <v>403</v>
      </c>
      <c r="C20" s="2">
        <v>12</v>
      </c>
      <c r="D20" s="2">
        <v>300</v>
      </c>
      <c r="E20" s="2">
        <v>50000</v>
      </c>
    </row>
    <row r="21" spans="1:5" x14ac:dyDescent="0.25">
      <c r="A21" s="4">
        <v>46043</v>
      </c>
      <c r="B21" s="2">
        <v>404</v>
      </c>
      <c r="C21" s="2">
        <v>7</v>
      </c>
      <c r="D21" s="2">
        <v>35000</v>
      </c>
      <c r="E21" s="2">
        <v>250000</v>
      </c>
    </row>
    <row r="22" spans="1:5" x14ac:dyDescent="0.25">
      <c r="A22" s="4">
        <v>46044</v>
      </c>
      <c r="B22" s="2">
        <v>405</v>
      </c>
      <c r="C22" s="2">
        <v>15</v>
      </c>
      <c r="D22" s="2">
        <v>1500</v>
      </c>
      <c r="E22" s="2">
        <v>75000</v>
      </c>
    </row>
    <row r="23" spans="1:5" x14ac:dyDescent="0.25">
      <c r="A23" s="4">
        <v>46045</v>
      </c>
      <c r="B23" s="2">
        <v>406</v>
      </c>
      <c r="C23" s="2">
        <v>8</v>
      </c>
      <c r="D23" s="2">
        <v>2000</v>
      </c>
      <c r="E23" s="2">
        <v>150000</v>
      </c>
    </row>
    <row r="24" spans="1:5" x14ac:dyDescent="0.25">
      <c r="A24" s="4">
        <v>46046</v>
      </c>
      <c r="B24" s="2">
        <v>407</v>
      </c>
      <c r="C24" s="2">
        <v>20</v>
      </c>
      <c r="D24" s="2">
        <v>600</v>
      </c>
      <c r="E24" s="2">
        <v>150000</v>
      </c>
    </row>
    <row r="25" spans="1:5" x14ac:dyDescent="0.25">
      <c r="A25" s="4">
        <v>46047</v>
      </c>
      <c r="B25" s="2">
        <v>408</v>
      </c>
      <c r="C25" s="2">
        <v>5</v>
      </c>
      <c r="D25" s="2">
        <v>35000</v>
      </c>
      <c r="E25" s="2">
        <v>200000</v>
      </c>
    </row>
    <row r="26" spans="1:5" x14ac:dyDescent="0.25">
      <c r="A26" s="4">
        <v>46048</v>
      </c>
      <c r="B26" s="2">
        <v>409</v>
      </c>
      <c r="C26" s="2">
        <v>7</v>
      </c>
      <c r="D26" s="2">
        <v>55000</v>
      </c>
      <c r="E26" s="2">
        <v>350000</v>
      </c>
    </row>
    <row r="27" spans="1:5" x14ac:dyDescent="0.25">
      <c r="A27" s="4">
        <v>46049</v>
      </c>
      <c r="B27" s="2">
        <v>410</v>
      </c>
      <c r="C27" s="2">
        <v>10</v>
      </c>
      <c r="D27" s="2">
        <v>200</v>
      </c>
      <c r="E27" s="2">
        <v>85000</v>
      </c>
    </row>
    <row r="28" spans="1:5" x14ac:dyDescent="0.25">
      <c r="A28" s="4" t="s">
        <v>41</v>
      </c>
      <c r="B28" s="2">
        <v>4055</v>
      </c>
      <c r="C28" s="2">
        <v>99</v>
      </c>
      <c r="D28" s="2">
        <v>209600</v>
      </c>
      <c r="E28" s="2">
        <v>4530000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22" sqref="B22"/>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1"/>
  <sheetViews>
    <sheetView tabSelected="1" zoomScaleNormal="100" workbookViewId="0">
      <selection activeCell="G11" sqref="G11"/>
    </sheetView>
  </sheetViews>
  <sheetFormatPr defaultRowHeight="15" x14ac:dyDescent="0.25"/>
  <cols>
    <col min="1" max="1" width="15.5703125" customWidth="1"/>
    <col min="2" max="2" width="11.42578125" customWidth="1"/>
    <col min="3" max="3" width="15.7109375" customWidth="1"/>
    <col min="4" max="4" width="15.28515625" customWidth="1"/>
    <col min="6" max="6" width="11.5703125" customWidth="1"/>
    <col min="7" max="7" width="10.7109375" customWidth="1"/>
    <col min="9" max="9" width="11.28515625" customWidth="1"/>
    <col min="10" max="10" width="9" customWidth="1"/>
  </cols>
  <sheetData>
    <row r="1" spans="1:11" x14ac:dyDescent="0.25">
      <c r="A1" t="s">
        <v>0</v>
      </c>
      <c r="B1" t="s">
        <v>1</v>
      </c>
      <c r="C1" t="s">
        <v>2</v>
      </c>
      <c r="D1" t="s">
        <v>3</v>
      </c>
      <c r="E1" t="s">
        <v>4</v>
      </c>
      <c r="F1" t="s">
        <v>5</v>
      </c>
      <c r="G1" t="s">
        <v>6</v>
      </c>
      <c r="H1" t="s">
        <v>7</v>
      </c>
      <c r="I1" t="s">
        <v>8</v>
      </c>
      <c r="J1" t="s">
        <v>45</v>
      </c>
      <c r="K1" t="s">
        <v>46</v>
      </c>
    </row>
    <row r="2" spans="1:11" x14ac:dyDescent="0.25">
      <c r="A2">
        <v>401</v>
      </c>
      <c r="B2" s="1">
        <v>46040</v>
      </c>
      <c r="C2" t="s">
        <v>9</v>
      </c>
      <c r="D2" t="s">
        <v>15</v>
      </c>
      <c r="E2" t="s">
        <v>25</v>
      </c>
      <c r="F2" t="s">
        <v>29</v>
      </c>
      <c r="G2">
        <v>10</v>
      </c>
      <c r="H2">
        <v>50000</v>
      </c>
      <c r="I2">
        <v>3000000</v>
      </c>
      <c r="J2">
        <f>G2*H2</f>
        <v>500000</v>
      </c>
      <c r="K2">
        <f>J2-I2</f>
        <v>-2500000</v>
      </c>
    </row>
    <row r="3" spans="1:11" x14ac:dyDescent="0.25">
      <c r="A3">
        <v>402</v>
      </c>
      <c r="B3" s="1">
        <v>46041</v>
      </c>
      <c r="C3" t="s">
        <v>10</v>
      </c>
      <c r="D3" t="s">
        <v>16</v>
      </c>
      <c r="E3" t="s">
        <v>26</v>
      </c>
      <c r="F3" t="s">
        <v>30</v>
      </c>
      <c r="G3">
        <v>10</v>
      </c>
      <c r="H3">
        <v>30000</v>
      </c>
      <c r="I3">
        <v>220000</v>
      </c>
      <c r="J3">
        <f t="shared" ref="J3:J11" si="0">G3*H3</f>
        <v>300000</v>
      </c>
      <c r="K3">
        <f t="shared" ref="K3:K11" si="1">J3-I3</f>
        <v>80000</v>
      </c>
    </row>
    <row r="4" spans="1:11" x14ac:dyDescent="0.25">
      <c r="A4">
        <v>403</v>
      </c>
      <c r="B4" s="1">
        <v>46042</v>
      </c>
      <c r="C4" t="s">
        <v>11</v>
      </c>
      <c r="D4" t="s">
        <v>17</v>
      </c>
      <c r="E4" t="s">
        <v>27</v>
      </c>
      <c r="F4" t="s">
        <v>31</v>
      </c>
      <c r="G4">
        <v>12</v>
      </c>
      <c r="H4">
        <v>300</v>
      </c>
      <c r="I4">
        <v>50000</v>
      </c>
      <c r="J4">
        <f t="shared" si="0"/>
        <v>3600</v>
      </c>
      <c r="K4">
        <f t="shared" si="1"/>
        <v>-46400</v>
      </c>
    </row>
    <row r="5" spans="1:11" x14ac:dyDescent="0.25">
      <c r="A5">
        <v>404</v>
      </c>
      <c r="B5" s="1">
        <v>46043</v>
      </c>
      <c r="C5" t="s">
        <v>12</v>
      </c>
      <c r="D5" t="s">
        <v>18</v>
      </c>
      <c r="E5" t="s">
        <v>25</v>
      </c>
      <c r="F5" t="s">
        <v>32</v>
      </c>
      <c r="G5">
        <v>7</v>
      </c>
      <c r="H5">
        <v>35000</v>
      </c>
      <c r="I5">
        <v>250000</v>
      </c>
      <c r="J5">
        <f t="shared" si="0"/>
        <v>245000</v>
      </c>
      <c r="K5">
        <f t="shared" si="1"/>
        <v>-5000</v>
      </c>
    </row>
    <row r="6" spans="1:11" x14ac:dyDescent="0.25">
      <c r="A6">
        <v>405</v>
      </c>
      <c r="B6" s="1">
        <v>46044</v>
      </c>
      <c r="C6" t="s">
        <v>13</v>
      </c>
      <c r="D6" t="s">
        <v>19</v>
      </c>
      <c r="E6" t="s">
        <v>28</v>
      </c>
      <c r="F6" t="s">
        <v>33</v>
      </c>
      <c r="G6">
        <v>15</v>
      </c>
      <c r="H6">
        <v>1500</v>
      </c>
      <c r="I6">
        <v>75000</v>
      </c>
      <c r="J6">
        <f t="shared" si="0"/>
        <v>22500</v>
      </c>
      <c r="K6">
        <f t="shared" si="1"/>
        <v>-52500</v>
      </c>
    </row>
    <row r="7" spans="1:11" x14ac:dyDescent="0.25">
      <c r="A7">
        <v>406</v>
      </c>
      <c r="B7" s="1">
        <v>46045</v>
      </c>
      <c r="C7" t="s">
        <v>14</v>
      </c>
      <c r="D7" t="s">
        <v>20</v>
      </c>
      <c r="E7" t="s">
        <v>26</v>
      </c>
      <c r="F7" t="s">
        <v>34</v>
      </c>
      <c r="G7">
        <v>8</v>
      </c>
      <c r="H7">
        <v>2000</v>
      </c>
      <c r="I7">
        <v>150000</v>
      </c>
      <c r="J7">
        <f t="shared" si="0"/>
        <v>16000</v>
      </c>
      <c r="K7">
        <f t="shared" si="1"/>
        <v>-134000</v>
      </c>
    </row>
    <row r="8" spans="1:11" x14ac:dyDescent="0.25">
      <c r="A8">
        <v>407</v>
      </c>
      <c r="B8" s="1">
        <v>46046</v>
      </c>
      <c r="C8" t="s">
        <v>11</v>
      </c>
      <c r="D8" t="s">
        <v>21</v>
      </c>
      <c r="E8" t="s">
        <v>27</v>
      </c>
      <c r="F8" t="s">
        <v>35</v>
      </c>
      <c r="G8">
        <v>20</v>
      </c>
      <c r="H8">
        <v>600</v>
      </c>
      <c r="I8">
        <v>150000</v>
      </c>
      <c r="J8">
        <f t="shared" si="0"/>
        <v>12000</v>
      </c>
      <c r="K8">
        <f t="shared" si="1"/>
        <v>-138000</v>
      </c>
    </row>
    <row r="9" spans="1:11" x14ac:dyDescent="0.25">
      <c r="A9">
        <v>408</v>
      </c>
      <c r="B9" s="1">
        <v>46047</v>
      </c>
      <c r="C9" t="s">
        <v>9</v>
      </c>
      <c r="D9" t="s">
        <v>22</v>
      </c>
      <c r="E9" t="s">
        <v>25</v>
      </c>
      <c r="F9" t="s">
        <v>36</v>
      </c>
      <c r="G9">
        <v>5</v>
      </c>
      <c r="H9">
        <v>35000</v>
      </c>
      <c r="I9">
        <v>200000</v>
      </c>
      <c r="J9">
        <f t="shared" si="0"/>
        <v>175000</v>
      </c>
      <c r="K9">
        <f t="shared" si="1"/>
        <v>-25000</v>
      </c>
    </row>
    <row r="10" spans="1:11" x14ac:dyDescent="0.25">
      <c r="A10">
        <v>409</v>
      </c>
      <c r="B10" s="1">
        <v>46048</v>
      </c>
      <c r="C10" t="s">
        <v>12</v>
      </c>
      <c r="D10" t="s">
        <v>23</v>
      </c>
      <c r="E10" t="s">
        <v>28</v>
      </c>
      <c r="F10" t="s">
        <v>37</v>
      </c>
      <c r="G10">
        <v>7</v>
      </c>
      <c r="H10">
        <v>55000</v>
      </c>
      <c r="I10">
        <v>350000</v>
      </c>
      <c r="J10">
        <f t="shared" si="0"/>
        <v>385000</v>
      </c>
      <c r="K10">
        <f t="shared" si="1"/>
        <v>35000</v>
      </c>
    </row>
    <row r="11" spans="1:11" x14ac:dyDescent="0.25">
      <c r="A11">
        <v>410</v>
      </c>
      <c r="B11" s="1">
        <v>46049</v>
      </c>
      <c r="C11" t="s">
        <v>13</v>
      </c>
      <c r="D11" t="s">
        <v>24</v>
      </c>
      <c r="E11" t="s">
        <v>26</v>
      </c>
      <c r="F11" t="s">
        <v>38</v>
      </c>
      <c r="G11">
        <v>10</v>
      </c>
      <c r="H11">
        <v>200</v>
      </c>
      <c r="I11">
        <v>85000</v>
      </c>
      <c r="J11">
        <f t="shared" si="0"/>
        <v>2000</v>
      </c>
      <c r="K11">
        <f t="shared" si="1"/>
        <v>-83000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Sheet2</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2026-01-19T06:17:48Z</dcterms:created>
  <dcterms:modified xsi:type="dcterms:W3CDTF">2026-01-21T04:36:42Z</dcterms:modified>
</cp:coreProperties>
</file>