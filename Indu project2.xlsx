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0490" windowHeight="7755" activeTab="2"/>
  </bookViews>
  <sheets>
    <sheet name="Sheet3" sheetId="3" r:id="rId1"/>
    <sheet name="Sheet1" sheetId="1" r:id="rId2"/>
    <sheet name="Sheet2" sheetId="2" r:id="rId3"/>
  </sheets>
  <definedNames>
    <definedName name="Slicer_Attendance">#N/A</definedName>
    <definedName name="Slicer_Department">#N/A</definedName>
    <definedName name="Slicer_Student_ID">#N/A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 i="2" l="1"/>
  <c r="N3" i="1" l="1"/>
  <c r="N4" i="1"/>
  <c r="N5" i="1"/>
  <c r="N6" i="1"/>
  <c r="N7" i="1"/>
  <c r="N8" i="1"/>
  <c r="N9" i="1"/>
  <c r="N10" i="1"/>
  <c r="N11" i="1"/>
  <c r="N12" i="1"/>
  <c r="N13" i="1"/>
  <c r="N14" i="1"/>
  <c r="N15" i="1"/>
  <c r="N16" i="1"/>
  <c r="N17" i="1"/>
  <c r="N18" i="1"/>
  <c r="N19" i="1"/>
  <c r="N20" i="1"/>
  <c r="N21" i="1"/>
  <c r="N2" i="1"/>
  <c r="M3" i="1"/>
  <c r="M4" i="1"/>
  <c r="M5" i="1"/>
  <c r="M6" i="1"/>
  <c r="M7" i="1"/>
  <c r="M8" i="1"/>
  <c r="M9" i="1"/>
  <c r="M10" i="1"/>
  <c r="M11" i="1"/>
  <c r="M12" i="1"/>
  <c r="M13" i="1"/>
  <c r="M14" i="1"/>
  <c r="M15" i="1"/>
  <c r="M16" i="1"/>
  <c r="M17" i="1"/>
  <c r="M18" i="1"/>
  <c r="M19" i="1"/>
  <c r="M20" i="1"/>
  <c r="M21" i="1"/>
  <c r="M2" i="1"/>
  <c r="K2" i="1" l="1"/>
  <c r="K3" i="1"/>
  <c r="K4" i="1"/>
  <c r="K5" i="1"/>
  <c r="K6" i="1"/>
  <c r="K7" i="1"/>
  <c r="K8" i="1"/>
  <c r="K9" i="1"/>
  <c r="K10" i="1"/>
  <c r="K11" i="1"/>
  <c r="K12" i="1"/>
  <c r="K13" i="1"/>
  <c r="K14" i="1"/>
  <c r="K15" i="1"/>
  <c r="K16" i="1"/>
  <c r="K17" i="1"/>
  <c r="K18" i="1"/>
  <c r="K19" i="1"/>
  <c r="K20" i="1"/>
  <c r="K21" i="1"/>
</calcChain>
</file>

<file path=xl/sharedStrings.xml><?xml version="1.0" encoding="utf-8"?>
<sst xmlns="http://schemas.openxmlformats.org/spreadsheetml/2006/main" count="134" uniqueCount="50">
  <si>
    <t xml:space="preserve">Student ID </t>
  </si>
  <si>
    <t>Gender</t>
  </si>
  <si>
    <t>Department</t>
  </si>
  <si>
    <t>Semester</t>
  </si>
  <si>
    <t>Total Marks</t>
  </si>
  <si>
    <t>Attendance %</t>
  </si>
  <si>
    <t>Overall%</t>
  </si>
  <si>
    <t>Performance Status</t>
  </si>
  <si>
    <t>S001</t>
  </si>
  <si>
    <t>S002</t>
  </si>
  <si>
    <t>S003</t>
  </si>
  <si>
    <t>S004</t>
  </si>
  <si>
    <t>S005</t>
  </si>
  <si>
    <t>S006</t>
  </si>
  <si>
    <t>S007</t>
  </si>
  <si>
    <t>S008</t>
  </si>
  <si>
    <t>S009</t>
  </si>
  <si>
    <t>S010</t>
  </si>
  <si>
    <t>S011</t>
  </si>
  <si>
    <t>S012</t>
  </si>
  <si>
    <t>S013</t>
  </si>
  <si>
    <t>S014</t>
  </si>
  <si>
    <t>S015</t>
  </si>
  <si>
    <t>S016</t>
  </si>
  <si>
    <t>S017</t>
  </si>
  <si>
    <t>S018</t>
  </si>
  <si>
    <t>S019</t>
  </si>
  <si>
    <t>S020</t>
  </si>
  <si>
    <t>Male</t>
  </si>
  <si>
    <t>Female</t>
  </si>
  <si>
    <t>CSE</t>
  </si>
  <si>
    <t>ECE</t>
  </si>
  <si>
    <t>MECH</t>
  </si>
  <si>
    <t>CIVIL</t>
  </si>
  <si>
    <t>EEE</t>
  </si>
  <si>
    <t>Subject 1</t>
  </si>
  <si>
    <t>Subject 2</t>
  </si>
  <si>
    <t>Subject 3</t>
  </si>
  <si>
    <t>Subject 4</t>
  </si>
  <si>
    <t>Subject 5</t>
  </si>
  <si>
    <t>Total Marks Obtained</t>
  </si>
  <si>
    <t>Row Labels</t>
  </si>
  <si>
    <t>Grand Total</t>
  </si>
  <si>
    <t>Sum of Attendance %</t>
  </si>
  <si>
    <t>Sum of Total Marks Obtained</t>
  </si>
  <si>
    <t>Sum of Overall%</t>
  </si>
  <si>
    <t>Count of Department</t>
  </si>
  <si>
    <t>Count of Performance Status</t>
  </si>
  <si>
    <t>Good</t>
  </si>
  <si>
    <t>82.3</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</si>
</sst>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project2.xlsx]Sheet3!PivotTable1</c:name>
    <c:fmtId val="22"/>
  </c:pivotSource>
  <c:chart>
    <c:autoTitleDeleted val="0"/>
    <c:pivotFmts>
      <c:pivotFmt>
        <c:idx val="0"/>
        <c:spPr>
          <a:solidFill>
            <a:schemeClr val="accent1"/>
          </a:solidFill>
          <a:ln>
            <a:noFill/>
          </a:ln>
          <a:effectLst/>
          <a:sp3d/>
        </c:spPr>
        <c:marker>
          <c:symbol val="none"/>
        </c:marker>
      </c:pivotFmt>
      <c:pivotFmt>
        <c:idx val="1"/>
        <c:spPr>
          <a:solidFill>
            <a:schemeClr val="accent6">
              <a:lumMod val="60000"/>
              <a:lumOff val="40000"/>
              <a:alpha val="86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Count of Department</c:v>
                </c:pt>
              </c:strCache>
            </c:strRef>
          </c:tx>
          <c:spPr>
            <a:solidFill>
              <a:schemeClr val="accent1"/>
            </a:solidFill>
            <a:ln>
              <a:noFill/>
            </a:ln>
            <a:effectLst/>
            <a:sp3d/>
          </c:spPr>
          <c:invertIfNegative val="0"/>
          <c:cat>
            <c:strRef>
              <c:f>Sheet3!$A$4:$A$10</c:f>
              <c:strCache>
                <c:ptCount val="6"/>
                <c:pt idx="0">
                  <c:v>S003</c:v>
                </c:pt>
                <c:pt idx="1">
                  <c:v>S007</c:v>
                </c:pt>
                <c:pt idx="2">
                  <c:v>S013</c:v>
                </c:pt>
                <c:pt idx="3">
                  <c:v>S018</c:v>
                </c:pt>
                <c:pt idx="4">
                  <c:v>S019</c:v>
                </c:pt>
                <c:pt idx="5">
                  <c:v>S020</c:v>
                </c:pt>
              </c:strCache>
            </c:strRef>
          </c:cat>
          <c:val>
            <c:numRef>
              <c:f>Sheet3!$B$4:$B$10</c:f>
              <c:numCache>
                <c:formatCode>General</c:formatCode>
                <c:ptCount val="6"/>
                <c:pt idx="0">
                  <c:v>1</c:v>
                </c:pt>
                <c:pt idx="1">
                  <c:v>1</c:v>
                </c:pt>
                <c:pt idx="2">
                  <c:v>1</c:v>
                </c:pt>
                <c:pt idx="3">
                  <c:v>1</c:v>
                </c:pt>
                <c:pt idx="4">
                  <c:v>1</c:v>
                </c:pt>
                <c:pt idx="5">
                  <c:v>1</c:v>
                </c:pt>
              </c:numCache>
            </c:numRef>
          </c:val>
        </c:ser>
        <c:ser>
          <c:idx val="1"/>
          <c:order val="1"/>
          <c:tx>
            <c:strRef>
              <c:f>Sheet3!$C$3</c:f>
              <c:strCache>
                <c:ptCount val="1"/>
                <c:pt idx="0">
                  <c:v>Sum of Overall%</c:v>
                </c:pt>
              </c:strCache>
            </c:strRef>
          </c:tx>
          <c:spPr>
            <a:solidFill>
              <a:schemeClr val="accent6">
                <a:lumMod val="60000"/>
                <a:lumOff val="40000"/>
                <a:alpha val="86000"/>
              </a:schemeClr>
            </a:solidFill>
            <a:ln>
              <a:noFill/>
            </a:ln>
            <a:effectLst/>
            <a:sp3d/>
          </c:spPr>
          <c:invertIfNegative val="0"/>
          <c:cat>
            <c:strRef>
              <c:f>Sheet3!$A$4:$A$10</c:f>
              <c:strCache>
                <c:ptCount val="6"/>
                <c:pt idx="0">
                  <c:v>S003</c:v>
                </c:pt>
                <c:pt idx="1">
                  <c:v>S007</c:v>
                </c:pt>
                <c:pt idx="2">
                  <c:v>S013</c:v>
                </c:pt>
                <c:pt idx="3">
                  <c:v>S018</c:v>
                </c:pt>
                <c:pt idx="4">
                  <c:v>S019</c:v>
                </c:pt>
                <c:pt idx="5">
                  <c:v>S020</c:v>
                </c:pt>
              </c:strCache>
            </c:strRef>
          </c:cat>
          <c:val>
            <c:numRef>
              <c:f>Sheet3!$C$4:$C$10</c:f>
              <c:numCache>
                <c:formatCode>General</c:formatCode>
                <c:ptCount val="6"/>
                <c:pt idx="0">
                  <c:v>82.399999999999991</c:v>
                </c:pt>
                <c:pt idx="1">
                  <c:v>84.8</c:v>
                </c:pt>
                <c:pt idx="2">
                  <c:v>85.2</c:v>
                </c:pt>
                <c:pt idx="3">
                  <c:v>57.599999999999994</c:v>
                </c:pt>
                <c:pt idx="4">
                  <c:v>78.600000000000009</c:v>
                </c:pt>
                <c:pt idx="5">
                  <c:v>81.599999999999994</c:v>
                </c:pt>
              </c:numCache>
            </c:numRef>
          </c:val>
        </c:ser>
        <c:dLbls>
          <c:showLegendKey val="0"/>
          <c:showVal val="0"/>
          <c:showCatName val="0"/>
          <c:showSerName val="0"/>
          <c:showPercent val="0"/>
          <c:showBubbleSize val="0"/>
        </c:dLbls>
        <c:gapWidth val="50"/>
        <c:gapDepth val="60"/>
        <c:shape val="box"/>
        <c:axId val="-1378108624"/>
        <c:axId val="-1378103728"/>
        <c:axId val="0"/>
      </c:bar3DChart>
      <c:catAx>
        <c:axId val="-1378108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3728"/>
        <c:crosses val="autoZero"/>
        <c:auto val="1"/>
        <c:lblAlgn val="ctr"/>
        <c:lblOffset val="100"/>
        <c:noMultiLvlLbl val="0"/>
      </c:catAx>
      <c:valAx>
        <c:axId val="-1378103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8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project2.xlsx]Sheet3!PivotTable2</c:name>
    <c:fmtId val="30"/>
  </c:pivotSource>
  <c:chart>
    <c:autoTitleDeleted val="0"/>
    <c:pivotFmts>
      <c:pivotFmt>
        <c:idx val="0"/>
        <c:spPr>
          <a:solidFill>
            <a:schemeClr val="accent6">
              <a:lumMod val="60000"/>
              <a:lumOff val="40000"/>
              <a:alpha val="89000"/>
            </a:schemeClr>
          </a:solidFill>
          <a:ln>
            <a:noFill/>
          </a:ln>
          <a:effectLst/>
          <a:sp3d/>
        </c:spPr>
        <c:marker>
          <c:symbol val="none"/>
        </c:marker>
      </c:pivotFmt>
      <c:pivotFmt>
        <c:idx val="1"/>
        <c:spPr>
          <a:solidFill>
            <a:schemeClr val="accent5"/>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Sheet3!$B$27</c:f>
              <c:strCache>
                <c:ptCount val="1"/>
                <c:pt idx="0">
                  <c:v>Sum of Attendance %</c:v>
                </c:pt>
              </c:strCache>
            </c:strRef>
          </c:tx>
          <c:spPr>
            <a:solidFill>
              <a:schemeClr val="accent6">
                <a:lumMod val="60000"/>
                <a:lumOff val="40000"/>
                <a:alpha val="89000"/>
              </a:schemeClr>
            </a:solidFill>
            <a:ln>
              <a:noFill/>
            </a:ln>
            <a:effectLst/>
            <a:sp3d/>
          </c:spPr>
          <c:invertIfNegative val="0"/>
          <c:cat>
            <c:strRef>
              <c:f>Sheet3!$A$28:$A$48</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Sheet3!$B$28:$B$48</c:f>
              <c:numCache>
                <c:formatCode>General</c:formatCode>
                <c:ptCount val="20"/>
                <c:pt idx="0">
                  <c:v>65</c:v>
                </c:pt>
                <c:pt idx="1">
                  <c:v>77</c:v>
                </c:pt>
                <c:pt idx="2">
                  <c:v>87</c:v>
                </c:pt>
                <c:pt idx="3">
                  <c:v>78</c:v>
                </c:pt>
                <c:pt idx="4">
                  <c:v>92</c:v>
                </c:pt>
                <c:pt idx="5">
                  <c:v>90</c:v>
                </c:pt>
                <c:pt idx="6">
                  <c:v>87</c:v>
                </c:pt>
                <c:pt idx="7">
                  <c:v>90</c:v>
                </c:pt>
                <c:pt idx="8">
                  <c:v>78</c:v>
                </c:pt>
                <c:pt idx="9">
                  <c:v>77</c:v>
                </c:pt>
                <c:pt idx="10">
                  <c:v>69</c:v>
                </c:pt>
                <c:pt idx="11">
                  <c:v>85</c:v>
                </c:pt>
                <c:pt idx="12">
                  <c:v>89</c:v>
                </c:pt>
                <c:pt idx="13">
                  <c:v>79</c:v>
                </c:pt>
                <c:pt idx="14">
                  <c:v>88</c:v>
                </c:pt>
                <c:pt idx="15">
                  <c:v>96</c:v>
                </c:pt>
                <c:pt idx="16">
                  <c:v>91</c:v>
                </c:pt>
                <c:pt idx="17">
                  <c:v>79</c:v>
                </c:pt>
                <c:pt idx="18">
                  <c:v>75</c:v>
                </c:pt>
                <c:pt idx="19">
                  <c:v>74</c:v>
                </c:pt>
              </c:numCache>
            </c:numRef>
          </c:val>
        </c:ser>
        <c:ser>
          <c:idx val="1"/>
          <c:order val="1"/>
          <c:tx>
            <c:strRef>
              <c:f>Sheet3!$C$27</c:f>
              <c:strCache>
                <c:ptCount val="1"/>
                <c:pt idx="0">
                  <c:v>Count of Performance Status</c:v>
                </c:pt>
              </c:strCache>
            </c:strRef>
          </c:tx>
          <c:spPr>
            <a:solidFill>
              <a:schemeClr val="accent5"/>
            </a:solidFill>
            <a:ln>
              <a:noFill/>
            </a:ln>
            <a:effectLst/>
            <a:sp3d/>
          </c:spPr>
          <c:invertIfNegative val="0"/>
          <c:cat>
            <c:strRef>
              <c:f>Sheet3!$A$28:$A$48</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Sheet3!$C$28:$C$48</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val>
        </c:ser>
        <c:dLbls>
          <c:showLegendKey val="0"/>
          <c:showVal val="0"/>
          <c:showCatName val="0"/>
          <c:showSerName val="0"/>
          <c:showPercent val="0"/>
          <c:showBubbleSize val="0"/>
        </c:dLbls>
        <c:gapWidth val="50"/>
        <c:gapDepth val="60"/>
        <c:shape val="box"/>
        <c:axId val="-1378107536"/>
        <c:axId val="-1378098288"/>
        <c:axId val="0"/>
      </c:bar3DChart>
      <c:catAx>
        <c:axId val="-1378107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098288"/>
        <c:crosses val="autoZero"/>
        <c:auto val="1"/>
        <c:lblAlgn val="ctr"/>
        <c:lblOffset val="100"/>
        <c:noMultiLvlLbl val="0"/>
      </c:catAx>
      <c:valAx>
        <c:axId val="-1378098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7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project2.xlsx]Sheet3!PivotTable4</c:name>
    <c:fmtId val="38"/>
  </c:pivotSource>
  <c:chart>
    <c:autoTitleDeleted val="0"/>
    <c:pivotFmts>
      <c:pivotFmt>
        <c:idx val="0"/>
        <c:spPr>
          <a:solidFill>
            <a:schemeClr val="accent6">
              <a:lumMod val="75000"/>
              <a:alpha val="72000"/>
            </a:schemeClr>
          </a:solidFill>
          <a:ln>
            <a:noFill/>
          </a:ln>
          <a:effectLst/>
        </c:spPr>
        <c:marker>
          <c:symbol val="none"/>
        </c:marker>
      </c:pivotFmt>
      <c:pivotFmt>
        <c:idx val="1"/>
        <c:spPr>
          <a:solidFill>
            <a:schemeClr val="accent5">
              <a:lumMod val="75000"/>
              <a:alpha val="68000"/>
            </a:schemeClr>
          </a:solidFill>
          <a:ln>
            <a:noFill/>
          </a:ln>
          <a:effectLst/>
        </c:spPr>
        <c:marker>
          <c:symbol val="none"/>
        </c:marker>
      </c:pivotFmt>
    </c:pivotFmts>
    <c:plotArea>
      <c:layout/>
      <c:barChart>
        <c:barDir val="col"/>
        <c:grouping val="clustered"/>
        <c:varyColors val="0"/>
        <c:ser>
          <c:idx val="0"/>
          <c:order val="0"/>
          <c:tx>
            <c:strRef>
              <c:f>Sheet3!$B$51</c:f>
              <c:strCache>
                <c:ptCount val="1"/>
                <c:pt idx="0">
                  <c:v>Sum of Total Marks Obtained</c:v>
                </c:pt>
              </c:strCache>
            </c:strRef>
          </c:tx>
          <c:spPr>
            <a:solidFill>
              <a:schemeClr val="accent6">
                <a:lumMod val="75000"/>
                <a:alpha val="72000"/>
              </a:schemeClr>
            </a:solidFill>
            <a:ln>
              <a:noFill/>
            </a:ln>
            <a:effectLst/>
          </c:spPr>
          <c:invertIfNegative val="0"/>
          <c:cat>
            <c:strRef>
              <c:f>Sheet3!$A$52:$A$72</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Sheet3!$B$52:$B$72</c:f>
              <c:numCache>
                <c:formatCode>General</c:formatCode>
                <c:ptCount val="20"/>
                <c:pt idx="0">
                  <c:v>326</c:v>
                </c:pt>
                <c:pt idx="1">
                  <c:v>359</c:v>
                </c:pt>
                <c:pt idx="2">
                  <c:v>412</c:v>
                </c:pt>
                <c:pt idx="3">
                  <c:v>408</c:v>
                </c:pt>
                <c:pt idx="4">
                  <c:v>253</c:v>
                </c:pt>
                <c:pt idx="5">
                  <c:v>373</c:v>
                </c:pt>
                <c:pt idx="6">
                  <c:v>424</c:v>
                </c:pt>
                <c:pt idx="7">
                  <c:v>419</c:v>
                </c:pt>
                <c:pt idx="8">
                  <c:v>404</c:v>
                </c:pt>
                <c:pt idx="9">
                  <c:v>285</c:v>
                </c:pt>
                <c:pt idx="10">
                  <c:v>405</c:v>
                </c:pt>
                <c:pt idx="11">
                  <c:v>425</c:v>
                </c:pt>
                <c:pt idx="12">
                  <c:v>426</c:v>
                </c:pt>
                <c:pt idx="13">
                  <c:v>387</c:v>
                </c:pt>
                <c:pt idx="14">
                  <c:v>410</c:v>
                </c:pt>
                <c:pt idx="15">
                  <c:v>451</c:v>
                </c:pt>
                <c:pt idx="16">
                  <c:v>428</c:v>
                </c:pt>
                <c:pt idx="17">
                  <c:v>288</c:v>
                </c:pt>
                <c:pt idx="18">
                  <c:v>393</c:v>
                </c:pt>
                <c:pt idx="19">
                  <c:v>408</c:v>
                </c:pt>
              </c:numCache>
            </c:numRef>
          </c:val>
        </c:ser>
        <c:ser>
          <c:idx val="1"/>
          <c:order val="1"/>
          <c:tx>
            <c:strRef>
              <c:f>Sheet3!$C$51</c:f>
              <c:strCache>
                <c:ptCount val="1"/>
                <c:pt idx="0">
                  <c:v>Sum of Overall%</c:v>
                </c:pt>
              </c:strCache>
            </c:strRef>
          </c:tx>
          <c:spPr>
            <a:solidFill>
              <a:schemeClr val="accent5">
                <a:lumMod val="75000"/>
                <a:alpha val="68000"/>
              </a:schemeClr>
            </a:solidFill>
            <a:ln>
              <a:noFill/>
            </a:ln>
            <a:effectLst/>
          </c:spPr>
          <c:invertIfNegative val="0"/>
          <c:cat>
            <c:strRef>
              <c:f>Sheet3!$A$52:$A$72</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Sheet3!$C$52:$C$72</c:f>
              <c:numCache>
                <c:formatCode>General</c:formatCode>
                <c:ptCount val="20"/>
                <c:pt idx="0">
                  <c:v>65.2</c:v>
                </c:pt>
                <c:pt idx="1">
                  <c:v>71.8</c:v>
                </c:pt>
                <c:pt idx="2">
                  <c:v>82.399999999999991</c:v>
                </c:pt>
                <c:pt idx="3">
                  <c:v>81.599999999999994</c:v>
                </c:pt>
                <c:pt idx="4">
                  <c:v>50.6</c:v>
                </c:pt>
                <c:pt idx="5">
                  <c:v>74.599999999999994</c:v>
                </c:pt>
                <c:pt idx="6">
                  <c:v>84.8</c:v>
                </c:pt>
                <c:pt idx="7">
                  <c:v>83.8</c:v>
                </c:pt>
                <c:pt idx="8">
                  <c:v>80.800000000000011</c:v>
                </c:pt>
                <c:pt idx="9">
                  <c:v>56.999999999999993</c:v>
                </c:pt>
                <c:pt idx="10">
                  <c:v>81</c:v>
                </c:pt>
                <c:pt idx="11">
                  <c:v>85</c:v>
                </c:pt>
                <c:pt idx="12">
                  <c:v>85.2</c:v>
                </c:pt>
                <c:pt idx="13">
                  <c:v>77.400000000000006</c:v>
                </c:pt>
                <c:pt idx="14">
                  <c:v>82</c:v>
                </c:pt>
                <c:pt idx="15">
                  <c:v>90.2</c:v>
                </c:pt>
                <c:pt idx="16">
                  <c:v>85.6</c:v>
                </c:pt>
                <c:pt idx="17">
                  <c:v>57.599999999999994</c:v>
                </c:pt>
                <c:pt idx="18">
                  <c:v>78.600000000000009</c:v>
                </c:pt>
                <c:pt idx="19">
                  <c:v>81.599999999999994</c:v>
                </c:pt>
              </c:numCache>
            </c:numRef>
          </c:val>
        </c:ser>
        <c:dLbls>
          <c:showLegendKey val="0"/>
          <c:showVal val="0"/>
          <c:showCatName val="0"/>
          <c:showSerName val="0"/>
          <c:showPercent val="0"/>
          <c:showBubbleSize val="0"/>
        </c:dLbls>
        <c:gapWidth val="75"/>
        <c:overlap val="49"/>
        <c:axId val="-1378106992"/>
        <c:axId val="-1378095568"/>
      </c:barChart>
      <c:catAx>
        <c:axId val="-13781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095568"/>
        <c:crosses val="autoZero"/>
        <c:auto val="1"/>
        <c:lblAlgn val="ctr"/>
        <c:lblOffset val="100"/>
        <c:noMultiLvlLbl val="0"/>
      </c:catAx>
      <c:valAx>
        <c:axId val="-1378095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6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project2.xlsx]Sheet3!PivotTable1</c:name>
    <c:fmtId val="25"/>
  </c:pivotSource>
  <c:chart>
    <c:autoTitleDeleted val="0"/>
    <c:pivotFmts>
      <c:pivotFmt>
        <c:idx val="0"/>
        <c:spPr>
          <a:solidFill>
            <a:schemeClr val="accent1"/>
          </a:solidFill>
          <a:ln>
            <a:noFill/>
          </a:ln>
          <a:effectLst/>
          <a:sp3d/>
        </c:spPr>
        <c:marker>
          <c:symbol val="none"/>
        </c:marker>
      </c:pivotFmt>
      <c:pivotFmt>
        <c:idx val="1"/>
        <c:spPr>
          <a:solidFill>
            <a:schemeClr val="accent6">
              <a:lumMod val="60000"/>
              <a:lumOff val="40000"/>
              <a:alpha val="86000"/>
            </a:schemeClr>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6">
              <a:lumMod val="60000"/>
              <a:lumOff val="40000"/>
              <a:alpha val="86000"/>
            </a:schemeClr>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6">
              <a:lumMod val="60000"/>
              <a:lumOff val="40000"/>
              <a:alpha val="86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Count of Department</c:v>
                </c:pt>
              </c:strCache>
            </c:strRef>
          </c:tx>
          <c:spPr>
            <a:solidFill>
              <a:schemeClr val="accent1"/>
            </a:solidFill>
            <a:ln>
              <a:noFill/>
            </a:ln>
            <a:effectLst/>
            <a:sp3d/>
          </c:spPr>
          <c:invertIfNegative val="0"/>
          <c:cat>
            <c:strRef>
              <c:f>Sheet3!$A$4:$A$10</c:f>
              <c:strCache>
                <c:ptCount val="6"/>
                <c:pt idx="0">
                  <c:v>S003</c:v>
                </c:pt>
                <c:pt idx="1">
                  <c:v>S007</c:v>
                </c:pt>
                <c:pt idx="2">
                  <c:v>S013</c:v>
                </c:pt>
                <c:pt idx="3">
                  <c:v>S018</c:v>
                </c:pt>
                <c:pt idx="4">
                  <c:v>S019</c:v>
                </c:pt>
                <c:pt idx="5">
                  <c:v>S020</c:v>
                </c:pt>
              </c:strCache>
            </c:strRef>
          </c:cat>
          <c:val>
            <c:numRef>
              <c:f>Sheet3!$B$4:$B$10</c:f>
              <c:numCache>
                <c:formatCode>General</c:formatCode>
                <c:ptCount val="6"/>
                <c:pt idx="0">
                  <c:v>1</c:v>
                </c:pt>
                <c:pt idx="1">
                  <c:v>1</c:v>
                </c:pt>
                <c:pt idx="2">
                  <c:v>1</c:v>
                </c:pt>
                <c:pt idx="3">
                  <c:v>1</c:v>
                </c:pt>
                <c:pt idx="4">
                  <c:v>1</c:v>
                </c:pt>
                <c:pt idx="5">
                  <c:v>1</c:v>
                </c:pt>
              </c:numCache>
            </c:numRef>
          </c:val>
        </c:ser>
        <c:ser>
          <c:idx val="1"/>
          <c:order val="1"/>
          <c:tx>
            <c:strRef>
              <c:f>Sheet3!$C$3</c:f>
              <c:strCache>
                <c:ptCount val="1"/>
                <c:pt idx="0">
                  <c:v>Sum of Overall%</c:v>
                </c:pt>
              </c:strCache>
            </c:strRef>
          </c:tx>
          <c:spPr>
            <a:solidFill>
              <a:schemeClr val="accent6">
                <a:lumMod val="60000"/>
                <a:lumOff val="40000"/>
                <a:alpha val="86000"/>
              </a:schemeClr>
            </a:solidFill>
            <a:ln>
              <a:noFill/>
            </a:ln>
            <a:effectLst/>
            <a:sp3d/>
          </c:spPr>
          <c:invertIfNegative val="0"/>
          <c:cat>
            <c:strRef>
              <c:f>Sheet3!$A$4:$A$10</c:f>
              <c:strCache>
                <c:ptCount val="6"/>
                <c:pt idx="0">
                  <c:v>S003</c:v>
                </c:pt>
                <c:pt idx="1">
                  <c:v>S007</c:v>
                </c:pt>
                <c:pt idx="2">
                  <c:v>S013</c:v>
                </c:pt>
                <c:pt idx="3">
                  <c:v>S018</c:v>
                </c:pt>
                <c:pt idx="4">
                  <c:v>S019</c:v>
                </c:pt>
                <c:pt idx="5">
                  <c:v>S020</c:v>
                </c:pt>
              </c:strCache>
            </c:strRef>
          </c:cat>
          <c:val>
            <c:numRef>
              <c:f>Sheet3!$C$4:$C$10</c:f>
              <c:numCache>
                <c:formatCode>General</c:formatCode>
                <c:ptCount val="6"/>
                <c:pt idx="0">
                  <c:v>82.399999999999991</c:v>
                </c:pt>
                <c:pt idx="1">
                  <c:v>84.8</c:v>
                </c:pt>
                <c:pt idx="2">
                  <c:v>85.2</c:v>
                </c:pt>
                <c:pt idx="3">
                  <c:v>57.599999999999994</c:v>
                </c:pt>
                <c:pt idx="4">
                  <c:v>78.600000000000009</c:v>
                </c:pt>
                <c:pt idx="5">
                  <c:v>81.599999999999994</c:v>
                </c:pt>
              </c:numCache>
            </c:numRef>
          </c:val>
        </c:ser>
        <c:dLbls>
          <c:showLegendKey val="0"/>
          <c:showVal val="0"/>
          <c:showCatName val="0"/>
          <c:showSerName val="0"/>
          <c:showPercent val="0"/>
          <c:showBubbleSize val="0"/>
        </c:dLbls>
        <c:gapWidth val="50"/>
        <c:gapDepth val="60"/>
        <c:shape val="box"/>
        <c:axId val="-1378105360"/>
        <c:axId val="-1378099920"/>
        <c:axId val="0"/>
      </c:bar3DChart>
      <c:catAx>
        <c:axId val="-137810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099920"/>
        <c:crosses val="autoZero"/>
        <c:auto val="1"/>
        <c:lblAlgn val="ctr"/>
        <c:lblOffset val="100"/>
        <c:noMultiLvlLbl val="0"/>
      </c:catAx>
      <c:valAx>
        <c:axId val="-1378099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5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project2.xlsx]Sheet3!PivotTable2</c:name>
    <c:fmtId val="32"/>
  </c:pivotSource>
  <c:chart>
    <c:autoTitleDeleted val="0"/>
    <c:pivotFmts>
      <c:pivotFmt>
        <c:idx val="0"/>
        <c:spPr>
          <a:solidFill>
            <a:schemeClr val="accent6">
              <a:lumMod val="60000"/>
              <a:lumOff val="40000"/>
              <a:alpha val="89000"/>
            </a:schemeClr>
          </a:solidFill>
          <a:ln>
            <a:noFill/>
          </a:ln>
          <a:effectLst/>
          <a:sp3d/>
        </c:spPr>
        <c:marker>
          <c:symbol val="none"/>
        </c:marker>
      </c:pivotFmt>
      <c:pivotFmt>
        <c:idx val="1"/>
        <c:spPr>
          <a:solidFill>
            <a:schemeClr val="accent5"/>
          </a:solidFill>
          <a:ln>
            <a:noFill/>
          </a:ln>
          <a:effectLst/>
          <a:sp3d/>
        </c:spPr>
        <c:marker>
          <c:symbol val="none"/>
        </c:marker>
      </c:pivotFmt>
      <c:pivotFmt>
        <c:idx val="2"/>
        <c:spPr>
          <a:solidFill>
            <a:schemeClr val="accent6">
              <a:lumMod val="60000"/>
              <a:lumOff val="40000"/>
              <a:alpha val="89000"/>
            </a:schemeClr>
          </a:solidFill>
          <a:ln>
            <a:noFill/>
          </a:ln>
          <a:effectLst/>
          <a:sp3d/>
        </c:spPr>
        <c:marker>
          <c:symbol val="none"/>
        </c:marker>
      </c:pivotFmt>
      <c:pivotFmt>
        <c:idx val="3"/>
        <c:spPr>
          <a:solidFill>
            <a:schemeClr val="accent5"/>
          </a:solidFill>
          <a:ln>
            <a:noFill/>
          </a:ln>
          <a:effectLst/>
          <a:sp3d/>
        </c:spPr>
        <c:marker>
          <c:symbol val="none"/>
        </c:marker>
      </c:pivotFmt>
      <c:pivotFmt>
        <c:idx val="4"/>
        <c:spPr>
          <a:solidFill>
            <a:schemeClr val="accent6">
              <a:lumMod val="60000"/>
              <a:lumOff val="40000"/>
              <a:alpha val="89000"/>
            </a:schemeClr>
          </a:solidFill>
          <a:ln>
            <a:noFill/>
          </a:ln>
          <a:effectLst/>
          <a:sp3d/>
        </c:spPr>
        <c:marker>
          <c:symbol val="none"/>
        </c:marker>
      </c:pivotFmt>
      <c:pivotFmt>
        <c:idx val="5"/>
        <c:spPr>
          <a:solidFill>
            <a:schemeClr val="accent5"/>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Sheet3!$B$27</c:f>
              <c:strCache>
                <c:ptCount val="1"/>
                <c:pt idx="0">
                  <c:v>Sum of Attendance %</c:v>
                </c:pt>
              </c:strCache>
            </c:strRef>
          </c:tx>
          <c:spPr>
            <a:solidFill>
              <a:schemeClr val="accent6">
                <a:lumMod val="60000"/>
                <a:lumOff val="40000"/>
                <a:alpha val="89000"/>
              </a:schemeClr>
            </a:solidFill>
            <a:ln>
              <a:noFill/>
            </a:ln>
            <a:effectLst/>
            <a:sp3d/>
          </c:spPr>
          <c:invertIfNegative val="0"/>
          <c:cat>
            <c:strRef>
              <c:f>Sheet3!$A$28:$A$48</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Sheet3!$B$28:$B$48</c:f>
              <c:numCache>
                <c:formatCode>General</c:formatCode>
                <c:ptCount val="20"/>
                <c:pt idx="0">
                  <c:v>65</c:v>
                </c:pt>
                <c:pt idx="1">
                  <c:v>77</c:v>
                </c:pt>
                <c:pt idx="2">
                  <c:v>87</c:v>
                </c:pt>
                <c:pt idx="3">
                  <c:v>78</c:v>
                </c:pt>
                <c:pt idx="4">
                  <c:v>92</c:v>
                </c:pt>
                <c:pt idx="5">
                  <c:v>90</c:v>
                </c:pt>
                <c:pt idx="6">
                  <c:v>87</c:v>
                </c:pt>
                <c:pt idx="7">
                  <c:v>90</c:v>
                </c:pt>
                <c:pt idx="8">
                  <c:v>78</c:v>
                </c:pt>
                <c:pt idx="9">
                  <c:v>77</c:v>
                </c:pt>
                <c:pt idx="10">
                  <c:v>69</c:v>
                </c:pt>
                <c:pt idx="11">
                  <c:v>85</c:v>
                </c:pt>
                <c:pt idx="12">
                  <c:v>89</c:v>
                </c:pt>
                <c:pt idx="13">
                  <c:v>79</c:v>
                </c:pt>
                <c:pt idx="14">
                  <c:v>88</c:v>
                </c:pt>
                <c:pt idx="15">
                  <c:v>96</c:v>
                </c:pt>
                <c:pt idx="16">
                  <c:v>91</c:v>
                </c:pt>
                <c:pt idx="17">
                  <c:v>79</c:v>
                </c:pt>
                <c:pt idx="18">
                  <c:v>75</c:v>
                </c:pt>
                <c:pt idx="19">
                  <c:v>74</c:v>
                </c:pt>
              </c:numCache>
            </c:numRef>
          </c:val>
        </c:ser>
        <c:ser>
          <c:idx val="1"/>
          <c:order val="1"/>
          <c:tx>
            <c:strRef>
              <c:f>Sheet3!$C$27</c:f>
              <c:strCache>
                <c:ptCount val="1"/>
                <c:pt idx="0">
                  <c:v>Count of Performance Status</c:v>
                </c:pt>
              </c:strCache>
            </c:strRef>
          </c:tx>
          <c:spPr>
            <a:solidFill>
              <a:schemeClr val="accent5"/>
            </a:solidFill>
            <a:ln>
              <a:noFill/>
            </a:ln>
            <a:effectLst/>
            <a:sp3d/>
          </c:spPr>
          <c:invertIfNegative val="0"/>
          <c:cat>
            <c:strRef>
              <c:f>Sheet3!$A$28:$A$48</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Sheet3!$C$28:$C$48</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val>
        </c:ser>
        <c:dLbls>
          <c:showLegendKey val="0"/>
          <c:showVal val="0"/>
          <c:showCatName val="0"/>
          <c:showSerName val="0"/>
          <c:showPercent val="0"/>
          <c:showBubbleSize val="0"/>
        </c:dLbls>
        <c:gapWidth val="50"/>
        <c:gapDepth val="60"/>
        <c:shape val="box"/>
        <c:axId val="-1378104272"/>
        <c:axId val="-1378102096"/>
        <c:axId val="0"/>
      </c:bar3DChart>
      <c:catAx>
        <c:axId val="-1378104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2096"/>
        <c:crosses val="autoZero"/>
        <c:auto val="1"/>
        <c:lblAlgn val="ctr"/>
        <c:lblOffset val="100"/>
        <c:noMultiLvlLbl val="0"/>
      </c:catAx>
      <c:valAx>
        <c:axId val="-1378102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4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project2.xlsx]Sheet3!PivotTable1</c:name>
    <c:fmtId val="27"/>
  </c:pivotSource>
  <c:chart>
    <c:autoTitleDeleted val="0"/>
    <c:pivotFmts>
      <c:pivotFmt>
        <c:idx val="0"/>
        <c:spPr>
          <a:solidFill>
            <a:schemeClr val="accent1"/>
          </a:solidFill>
          <a:ln>
            <a:noFill/>
          </a:ln>
          <a:effectLst/>
          <a:sp3d/>
        </c:spPr>
        <c:marker>
          <c:symbol val="none"/>
        </c:marker>
      </c:pivotFmt>
      <c:pivotFmt>
        <c:idx val="1"/>
        <c:spPr>
          <a:solidFill>
            <a:schemeClr val="accent6">
              <a:lumMod val="60000"/>
              <a:lumOff val="40000"/>
              <a:alpha val="86000"/>
            </a:schemeClr>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6">
              <a:lumMod val="60000"/>
              <a:lumOff val="40000"/>
              <a:alpha val="86000"/>
            </a:schemeClr>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6">
              <a:lumMod val="60000"/>
              <a:lumOff val="40000"/>
              <a:alpha val="86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Count of Department</c:v>
                </c:pt>
              </c:strCache>
            </c:strRef>
          </c:tx>
          <c:spPr>
            <a:solidFill>
              <a:schemeClr val="accent1"/>
            </a:solidFill>
            <a:ln>
              <a:noFill/>
            </a:ln>
            <a:effectLst/>
            <a:sp3d/>
          </c:spPr>
          <c:invertIfNegative val="0"/>
          <c:cat>
            <c:strRef>
              <c:f>Sheet3!$A$4:$A$10</c:f>
              <c:strCache>
                <c:ptCount val="6"/>
                <c:pt idx="0">
                  <c:v>S003</c:v>
                </c:pt>
                <c:pt idx="1">
                  <c:v>S007</c:v>
                </c:pt>
                <c:pt idx="2">
                  <c:v>S013</c:v>
                </c:pt>
                <c:pt idx="3">
                  <c:v>S018</c:v>
                </c:pt>
                <c:pt idx="4">
                  <c:v>S019</c:v>
                </c:pt>
                <c:pt idx="5">
                  <c:v>S020</c:v>
                </c:pt>
              </c:strCache>
            </c:strRef>
          </c:cat>
          <c:val>
            <c:numRef>
              <c:f>Sheet3!$B$4:$B$10</c:f>
              <c:numCache>
                <c:formatCode>General</c:formatCode>
                <c:ptCount val="6"/>
                <c:pt idx="0">
                  <c:v>1</c:v>
                </c:pt>
                <c:pt idx="1">
                  <c:v>1</c:v>
                </c:pt>
                <c:pt idx="2">
                  <c:v>1</c:v>
                </c:pt>
                <c:pt idx="3">
                  <c:v>1</c:v>
                </c:pt>
                <c:pt idx="4">
                  <c:v>1</c:v>
                </c:pt>
                <c:pt idx="5">
                  <c:v>1</c:v>
                </c:pt>
              </c:numCache>
            </c:numRef>
          </c:val>
        </c:ser>
        <c:ser>
          <c:idx val="1"/>
          <c:order val="1"/>
          <c:tx>
            <c:strRef>
              <c:f>Sheet3!$C$3</c:f>
              <c:strCache>
                <c:ptCount val="1"/>
                <c:pt idx="0">
                  <c:v>Sum of Overall%</c:v>
                </c:pt>
              </c:strCache>
            </c:strRef>
          </c:tx>
          <c:spPr>
            <a:solidFill>
              <a:schemeClr val="accent6">
                <a:lumMod val="60000"/>
                <a:lumOff val="40000"/>
                <a:alpha val="86000"/>
              </a:schemeClr>
            </a:solidFill>
            <a:ln>
              <a:noFill/>
            </a:ln>
            <a:effectLst/>
            <a:sp3d/>
          </c:spPr>
          <c:invertIfNegative val="0"/>
          <c:cat>
            <c:strRef>
              <c:f>Sheet3!$A$4:$A$10</c:f>
              <c:strCache>
                <c:ptCount val="6"/>
                <c:pt idx="0">
                  <c:v>S003</c:v>
                </c:pt>
                <c:pt idx="1">
                  <c:v>S007</c:v>
                </c:pt>
                <c:pt idx="2">
                  <c:v>S013</c:v>
                </c:pt>
                <c:pt idx="3">
                  <c:v>S018</c:v>
                </c:pt>
                <c:pt idx="4">
                  <c:v>S019</c:v>
                </c:pt>
                <c:pt idx="5">
                  <c:v>S020</c:v>
                </c:pt>
              </c:strCache>
            </c:strRef>
          </c:cat>
          <c:val>
            <c:numRef>
              <c:f>Sheet3!$C$4:$C$10</c:f>
              <c:numCache>
                <c:formatCode>General</c:formatCode>
                <c:ptCount val="6"/>
                <c:pt idx="0">
                  <c:v>82.399999999999991</c:v>
                </c:pt>
                <c:pt idx="1">
                  <c:v>84.8</c:v>
                </c:pt>
                <c:pt idx="2">
                  <c:v>85.2</c:v>
                </c:pt>
                <c:pt idx="3">
                  <c:v>57.599999999999994</c:v>
                </c:pt>
                <c:pt idx="4">
                  <c:v>78.600000000000009</c:v>
                </c:pt>
                <c:pt idx="5">
                  <c:v>81.599999999999994</c:v>
                </c:pt>
              </c:numCache>
            </c:numRef>
          </c:val>
        </c:ser>
        <c:dLbls>
          <c:showLegendKey val="0"/>
          <c:showVal val="0"/>
          <c:showCatName val="0"/>
          <c:showSerName val="0"/>
          <c:showPercent val="0"/>
          <c:showBubbleSize val="0"/>
        </c:dLbls>
        <c:gapWidth val="50"/>
        <c:gapDepth val="60"/>
        <c:shape val="box"/>
        <c:axId val="-1272521808"/>
        <c:axId val="-1272528336"/>
        <c:axId val="0"/>
      </c:bar3DChart>
      <c:catAx>
        <c:axId val="-1272521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528336"/>
        <c:crosses val="autoZero"/>
        <c:auto val="1"/>
        <c:lblAlgn val="ctr"/>
        <c:lblOffset val="100"/>
        <c:noMultiLvlLbl val="0"/>
      </c:catAx>
      <c:valAx>
        <c:axId val="-127252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521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1762125</xdr:colOff>
      <xdr:row>2</xdr:row>
      <xdr:rowOff>0</xdr:rowOff>
    </xdr:from>
    <xdr:to>
      <xdr:col>7</xdr:col>
      <xdr:colOff>57150</xdr:colOff>
      <xdr:row>11</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1023937</xdr:colOff>
      <xdr:row>28</xdr:row>
      <xdr:rowOff>9525</xdr:rowOff>
    </xdr:from>
    <xdr:to>
      <xdr:col>7</xdr:col>
      <xdr:colOff>466725</xdr:colOff>
      <xdr:row>45</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609600</xdr:colOff>
      <xdr:row>51</xdr:row>
      <xdr:rowOff>19050</xdr:rowOff>
    </xdr:from>
    <xdr:to>
      <xdr:col>7</xdr:col>
      <xdr:colOff>9525</xdr:colOff>
      <xdr:row>70</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200025</xdr:colOff>
      <xdr:row>74</xdr:row>
      <xdr:rowOff>9525</xdr:rowOff>
    </xdr:from>
    <xdr:to>
      <xdr:col>1</xdr:col>
      <xdr:colOff>1152525</xdr:colOff>
      <xdr:row>87</xdr:row>
      <xdr:rowOff>57150</xdr:rowOff>
    </xdr:to>
    <mc:AlternateContent xmlns:mc="http://schemas.openxmlformats.org/markup-compatibility/2006" xmlns:a14="http://schemas.microsoft.com/office/drawing/2010/main">
      <mc:Choice Requires="a14">
        <xdr:graphicFrame macro="">
          <xdr:nvGraphicFramePr>
            <xdr:cNvPr id="11" name="Student ID  2"/>
            <xdr:cNvGraphicFramePr/>
          </xdr:nvGraphicFramePr>
          <xdr:xfrm>
            <a:off x="0" y="0"/>
            <a:ext cx="0" cy="0"/>
          </xdr:xfrm>
          <a:graphic>
            <a:graphicData uri="http://schemas.microsoft.com/office/drawing/2010/slicer">
              <sle:slicer xmlns:sle="http://schemas.microsoft.com/office/drawing/2010/slicer" name="Student ID  2"/>
            </a:graphicData>
          </a:graphic>
        </xdr:graphicFrame>
      </mc:Choice>
      <mc:Fallback xmlns="">
        <xdr:sp macro="" textlink="">
          <xdr:nvSpPr>
            <xdr:cNvPr id="0" name=""/>
            <xdr:cNvSpPr>
              <a:spLocks noTextEdit="1"/>
            </xdr:cNvSpPr>
          </xdr:nvSpPr>
          <xdr:spPr>
            <a:xfrm>
              <a:off x="200025" y="14106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485775</xdr:colOff>
      <xdr:row>74</xdr:row>
      <xdr:rowOff>0</xdr:rowOff>
    </xdr:from>
    <xdr:to>
      <xdr:col>3</xdr:col>
      <xdr:colOff>581025</xdr:colOff>
      <xdr:row>87</xdr:row>
      <xdr:rowOff>47625</xdr:rowOff>
    </xdr:to>
    <mc:AlternateContent xmlns:mc="http://schemas.openxmlformats.org/markup-compatibility/2006" xmlns:a14="http://schemas.microsoft.com/office/drawing/2010/main">
      <mc:Choice Requires="a14">
        <xdr:graphicFrame macro="">
          <xdr:nvGraphicFramePr>
            <xdr:cNvPr id="12" name="Attendance % 2"/>
            <xdr:cNvGraphicFramePr/>
          </xdr:nvGraphicFramePr>
          <xdr:xfrm>
            <a:off x="0" y="0"/>
            <a:ext cx="0" cy="0"/>
          </xdr:xfrm>
          <a:graphic>
            <a:graphicData uri="http://schemas.microsoft.com/office/drawing/2010/slicer">
              <sle:slicer xmlns:sle="http://schemas.microsoft.com/office/drawing/2010/slicer" name="Attendance % 2"/>
            </a:graphicData>
          </a:graphic>
        </xdr:graphicFrame>
      </mc:Choice>
      <mc:Fallback xmlns="">
        <xdr:sp macro="" textlink="">
          <xdr:nvSpPr>
            <xdr:cNvPr id="0" name=""/>
            <xdr:cNvSpPr>
              <a:spLocks noTextEdit="1"/>
            </xdr:cNvSpPr>
          </xdr:nvSpPr>
          <xdr:spPr>
            <a:xfrm>
              <a:off x="2695575" y="14097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1143000</xdr:colOff>
      <xdr:row>74</xdr:row>
      <xdr:rowOff>19050</xdr:rowOff>
    </xdr:from>
    <xdr:to>
      <xdr:col>5</xdr:col>
      <xdr:colOff>285750</xdr:colOff>
      <xdr:row>87</xdr:row>
      <xdr:rowOff>66675</xdr:rowOff>
    </xdr:to>
    <mc:AlternateContent xmlns:mc="http://schemas.openxmlformats.org/markup-compatibility/2006" xmlns:a14="http://schemas.microsoft.com/office/drawing/2010/main">
      <mc:Choice Requires="a14">
        <xdr:graphicFrame macro="">
          <xdr:nvGraphicFramePr>
            <xdr:cNvPr id="13" name="Department 2"/>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4400550" y="14116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371475</xdr:colOff>
      <xdr:row>1</xdr:row>
      <xdr:rowOff>0</xdr:rowOff>
    </xdr:from>
    <xdr:to>
      <xdr:col>16</xdr:col>
      <xdr:colOff>9525</xdr:colOff>
      <xdr:row>5</xdr:row>
      <xdr:rowOff>152400</xdr:rowOff>
    </xdr:to>
    <xdr:sp macro="" textlink="">
      <xdr:nvSpPr>
        <xdr:cNvPr id="3" name="Rectangle 2"/>
        <xdr:cNvSpPr/>
      </xdr:nvSpPr>
      <xdr:spPr>
        <a:xfrm>
          <a:off x="371475" y="190500"/>
          <a:ext cx="9391650" cy="9144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295275</xdr:colOff>
      <xdr:row>1</xdr:row>
      <xdr:rowOff>133350</xdr:rowOff>
    </xdr:from>
    <xdr:to>
      <xdr:col>13</xdr:col>
      <xdr:colOff>295275</xdr:colOff>
      <xdr:row>4</xdr:row>
      <xdr:rowOff>57150</xdr:rowOff>
    </xdr:to>
    <xdr:sp macro="" textlink="">
      <xdr:nvSpPr>
        <xdr:cNvPr id="5" name="TextBox 4"/>
        <xdr:cNvSpPr txBox="1"/>
      </xdr:nvSpPr>
      <xdr:spPr>
        <a:xfrm>
          <a:off x="2124075" y="323850"/>
          <a:ext cx="6096000"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STUDENT</a:t>
          </a:r>
          <a:r>
            <a:rPr lang="en-IN" sz="2800" baseline="0"/>
            <a:t> PERFORMANCE DASHBOARD</a:t>
          </a:r>
          <a:endParaRPr lang="en-IN" sz="2800"/>
        </a:p>
      </xdr:txBody>
    </xdr:sp>
    <xdr:clientData/>
  </xdr:twoCellAnchor>
  <xdr:twoCellAnchor editAs="oneCell">
    <xdr:from>
      <xdr:col>0</xdr:col>
      <xdr:colOff>133350</xdr:colOff>
      <xdr:row>6</xdr:row>
      <xdr:rowOff>161925</xdr:rowOff>
    </xdr:from>
    <xdr:to>
      <xdr:col>3</xdr:col>
      <xdr:colOff>133350</xdr:colOff>
      <xdr:row>16</xdr:row>
      <xdr:rowOff>76200</xdr:rowOff>
    </xdr:to>
    <mc:AlternateContent xmlns:mc="http://schemas.openxmlformats.org/markup-compatibility/2006">
      <mc:Choice xmlns:a14="http://schemas.microsoft.com/office/drawing/2010/main" Requires="a14">
        <xdr:graphicFrame macro="">
          <xdr:nvGraphicFramePr>
            <xdr:cNvPr id="12"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3350" y="1304925"/>
              <a:ext cx="1828800"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18</xdr:row>
      <xdr:rowOff>9525</xdr:rowOff>
    </xdr:from>
    <xdr:to>
      <xdr:col>3</xdr:col>
      <xdr:colOff>95250</xdr:colOff>
      <xdr:row>31</xdr:row>
      <xdr:rowOff>57150</xdr:rowOff>
    </xdr:to>
    <mc:AlternateContent xmlns:mc="http://schemas.openxmlformats.org/markup-compatibility/2006">
      <mc:Choice xmlns:a14="http://schemas.microsoft.com/office/drawing/2010/main" Requires="a14">
        <xdr:graphicFrame macro="">
          <xdr:nvGraphicFramePr>
            <xdr:cNvPr id="13" name="Student ID  1"/>
            <xdr:cNvGraphicFramePr/>
          </xdr:nvGraphicFramePr>
          <xdr:xfrm>
            <a:off x="0" y="0"/>
            <a:ext cx="0" cy="0"/>
          </xdr:xfrm>
          <a:graphic>
            <a:graphicData uri="http://schemas.microsoft.com/office/drawing/2010/slicer">
              <sle:slicer xmlns:sle="http://schemas.microsoft.com/office/drawing/2010/slicer" name="Student ID  1"/>
            </a:graphicData>
          </a:graphic>
        </xdr:graphicFrame>
      </mc:Choice>
      <mc:Fallback>
        <xdr:sp macro="" textlink="">
          <xdr:nvSpPr>
            <xdr:cNvPr id="0" name=""/>
            <xdr:cNvSpPr>
              <a:spLocks noTextEdit="1"/>
            </xdr:cNvSpPr>
          </xdr:nvSpPr>
          <xdr:spPr>
            <a:xfrm>
              <a:off x="95250" y="3438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180975</xdr:rowOff>
    </xdr:from>
    <xdr:to>
      <xdr:col>3</xdr:col>
      <xdr:colOff>0</xdr:colOff>
      <xdr:row>51</xdr:row>
      <xdr:rowOff>38100</xdr:rowOff>
    </xdr:to>
    <mc:AlternateContent xmlns:mc="http://schemas.openxmlformats.org/markup-compatibility/2006" xmlns:a14="http://schemas.microsoft.com/office/drawing/2010/main">
      <mc:Choice Requires="a14">
        <xdr:graphicFrame macro="">
          <xdr:nvGraphicFramePr>
            <xdr:cNvPr id="14" name="Attendance % 1"/>
            <xdr:cNvGraphicFramePr/>
          </xdr:nvGraphicFramePr>
          <xdr:xfrm>
            <a:off x="0" y="0"/>
            <a:ext cx="0" cy="0"/>
          </xdr:xfrm>
          <a:graphic>
            <a:graphicData uri="http://schemas.microsoft.com/office/drawing/2010/slicer">
              <sle:slicer xmlns:sle="http://schemas.microsoft.com/office/drawing/2010/slicer" name="Attendance % 1"/>
            </a:graphicData>
          </a:graphic>
        </xdr:graphicFrame>
      </mc:Choice>
      <mc:Fallback xmlns="">
        <xdr:sp macro="" textlink="">
          <xdr:nvSpPr>
            <xdr:cNvPr id="0" name=""/>
            <xdr:cNvSpPr>
              <a:spLocks noTextEdit="1"/>
            </xdr:cNvSpPr>
          </xdr:nvSpPr>
          <xdr:spPr>
            <a:xfrm>
              <a:off x="0" y="7229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171450</xdr:colOff>
      <xdr:row>7</xdr:row>
      <xdr:rowOff>0</xdr:rowOff>
    </xdr:from>
    <xdr:to>
      <xdr:col>10</xdr:col>
      <xdr:colOff>352425</xdr:colOff>
      <xdr:row>16</xdr:row>
      <xdr:rowOff>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17</xdr:row>
      <xdr:rowOff>133350</xdr:rowOff>
    </xdr:from>
    <xdr:to>
      <xdr:col>12</xdr:col>
      <xdr:colOff>300038</xdr:colOff>
      <xdr:row>33</xdr:row>
      <xdr:rowOff>171450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38</xdr:row>
      <xdr:rowOff>0</xdr:rowOff>
    </xdr:from>
    <xdr:to>
      <xdr:col>11</xdr:col>
      <xdr:colOff>180975</xdr:colOff>
      <xdr:row>47</xdr:row>
      <xdr:rowOff>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1.826628587965" createdVersion="5" refreshedVersion="5" minRefreshableVersion="3" recordCount="20">
  <cacheSource type="worksheet">
    <worksheetSource name="Table1"/>
  </cacheSource>
  <cacheFields count="14">
    <cacheField name="Student ID " numFmtId="0">
      <sharedItems count="20">
        <s v="S001"/>
        <s v="S002"/>
        <s v="S003"/>
        <s v="S004"/>
        <s v="S005"/>
        <s v="S006"/>
        <s v="S007"/>
        <s v="S008"/>
        <s v="S009"/>
        <s v="S010"/>
        <s v="S011"/>
        <s v="S012"/>
        <s v="S013"/>
        <s v="S014"/>
        <s v="S015"/>
        <s v="S016"/>
        <s v="S017"/>
        <s v="S018"/>
        <s v="S019"/>
        <s v="S020"/>
      </sharedItems>
    </cacheField>
    <cacheField name="Gender" numFmtId="0">
      <sharedItems/>
    </cacheField>
    <cacheField name="Department" numFmtId="0">
      <sharedItems count="5">
        <s v="CSE"/>
        <s v="ECE"/>
        <s v="MECH"/>
        <s v="CIVIL"/>
        <s v="EEE"/>
      </sharedItems>
    </cacheField>
    <cacheField name="Semester" numFmtId="0">
      <sharedItems containsSemiMixedTypes="0" containsString="0" containsNumber="1" containsInteger="1" minValue="1" maxValue="1"/>
    </cacheField>
    <cacheField name="Attendance %" numFmtId="0">
      <sharedItems containsSemiMixedTypes="0" containsString="0" containsNumber="1" containsInteger="1" minValue="65" maxValue="96" count="15">
        <n v="65"/>
        <n v="77"/>
        <n v="87"/>
        <n v="78"/>
        <n v="92"/>
        <n v="90"/>
        <n v="69"/>
        <n v="85"/>
        <n v="89"/>
        <n v="79"/>
        <n v="88"/>
        <n v="96"/>
        <n v="91"/>
        <n v="75"/>
        <n v="74"/>
      </sharedItems>
    </cacheField>
    <cacheField name="Subject 1" numFmtId="0">
      <sharedItems containsSemiMixedTypes="0" containsString="0" containsNumber="1" containsInteger="1" minValue="46" maxValue="90"/>
    </cacheField>
    <cacheField name="Subject 2" numFmtId="0">
      <sharedItems containsSemiMixedTypes="0" containsString="0" containsNumber="1" containsInteger="1" minValue="50" maxValue="92"/>
    </cacheField>
    <cacheField name="Subject 3" numFmtId="0">
      <sharedItems containsSemiMixedTypes="0" containsString="0" containsNumber="1" containsInteger="1" minValue="45" maxValue="90"/>
    </cacheField>
    <cacheField name="Subject 4" numFmtId="0">
      <sharedItems containsSemiMixedTypes="0" containsString="0" containsNumber="1" containsInteger="1" minValue="40" maxValue="91"/>
    </cacheField>
    <cacheField name="Subject 5" numFmtId="0">
      <sharedItems containsSemiMixedTypes="0" containsString="0" containsNumber="1" containsInteger="1" minValue="45" maxValue="90"/>
    </cacheField>
    <cacheField name="Total Marks Obtained" numFmtId="0">
      <sharedItems containsSemiMixedTypes="0" containsString="0" containsNumber="1" containsInteger="1" minValue="253" maxValue="451"/>
    </cacheField>
    <cacheField name="Total Marks" numFmtId="0">
      <sharedItems containsSemiMixedTypes="0" containsString="0" containsNumber="1" containsInteger="1" minValue="500" maxValue="500"/>
    </cacheField>
    <cacheField name="Performance Status" numFmtId="0">
      <sharedItems count="2">
        <s v="Good"/>
        <s v="Average"/>
      </sharedItems>
    </cacheField>
    <cacheField name="Overall%" numFmtId="0">
      <sharedItems containsSemiMixedTypes="0" containsString="0" containsNumber="1" minValue="50.6" maxValue="90.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s v="Male"/>
    <x v="0"/>
    <n v="1"/>
    <x v="0"/>
    <n v="80"/>
    <n v="57"/>
    <n v="45"/>
    <n v="66"/>
    <n v="78"/>
    <n v="326"/>
    <n v="500"/>
    <x v="0"/>
    <n v="65.2"/>
  </r>
  <r>
    <x v="1"/>
    <s v="Female"/>
    <x v="0"/>
    <n v="1"/>
    <x v="1"/>
    <n v="67"/>
    <n v="68"/>
    <n v="77"/>
    <n v="59"/>
    <n v="88"/>
    <n v="359"/>
    <n v="500"/>
    <x v="0"/>
    <n v="71.8"/>
  </r>
  <r>
    <x v="2"/>
    <s v="Female"/>
    <x v="1"/>
    <n v="1"/>
    <x v="2"/>
    <n v="90"/>
    <n v="87"/>
    <n v="76"/>
    <n v="79"/>
    <n v="80"/>
    <n v="412"/>
    <n v="500"/>
    <x v="0"/>
    <n v="82.399999999999991"/>
  </r>
  <r>
    <x v="3"/>
    <s v="Female"/>
    <x v="2"/>
    <n v="1"/>
    <x v="3"/>
    <n v="85"/>
    <n v="78"/>
    <n v="67"/>
    <n v="88"/>
    <n v="90"/>
    <n v="408"/>
    <n v="500"/>
    <x v="0"/>
    <n v="81.599999999999994"/>
  </r>
  <r>
    <x v="4"/>
    <s v="Male"/>
    <x v="3"/>
    <n v="1"/>
    <x v="4"/>
    <n v="46"/>
    <n v="50"/>
    <n v="55"/>
    <n v="54"/>
    <n v="48"/>
    <n v="253"/>
    <n v="500"/>
    <x v="1"/>
    <n v="50.6"/>
  </r>
  <r>
    <x v="5"/>
    <s v="Female"/>
    <x v="4"/>
    <n v="1"/>
    <x v="5"/>
    <n v="88"/>
    <n v="76"/>
    <n v="77"/>
    <n v="67"/>
    <n v="65"/>
    <n v="373"/>
    <n v="500"/>
    <x v="0"/>
    <n v="74.599999999999994"/>
  </r>
  <r>
    <x v="6"/>
    <s v="Male"/>
    <x v="1"/>
    <n v="1"/>
    <x v="2"/>
    <n v="79"/>
    <n v="75"/>
    <n v="89"/>
    <n v="91"/>
    <n v="90"/>
    <n v="424"/>
    <n v="500"/>
    <x v="0"/>
    <n v="84.8"/>
  </r>
  <r>
    <x v="7"/>
    <s v="Male"/>
    <x v="3"/>
    <n v="1"/>
    <x v="5"/>
    <n v="90"/>
    <n v="87"/>
    <n v="76"/>
    <n v="88"/>
    <n v="78"/>
    <n v="419"/>
    <n v="500"/>
    <x v="0"/>
    <n v="83.8"/>
  </r>
  <r>
    <x v="8"/>
    <s v="Female"/>
    <x v="3"/>
    <n v="1"/>
    <x v="3"/>
    <n v="87"/>
    <n v="85"/>
    <n v="78"/>
    <n v="78"/>
    <n v="76"/>
    <n v="404"/>
    <n v="500"/>
    <x v="0"/>
    <n v="80.800000000000011"/>
  </r>
  <r>
    <x v="9"/>
    <s v="Female"/>
    <x v="3"/>
    <n v="1"/>
    <x v="1"/>
    <n v="70"/>
    <n v="50"/>
    <n v="60"/>
    <n v="40"/>
    <n v="65"/>
    <n v="285"/>
    <n v="500"/>
    <x v="1"/>
    <n v="56.999999999999993"/>
  </r>
  <r>
    <x v="10"/>
    <s v="Male"/>
    <x v="4"/>
    <n v="1"/>
    <x v="6"/>
    <n v="85"/>
    <n v="80"/>
    <n v="75"/>
    <n v="77"/>
    <n v="88"/>
    <n v="405"/>
    <n v="500"/>
    <x v="0"/>
    <n v="81"/>
  </r>
  <r>
    <x v="11"/>
    <s v="Male"/>
    <x v="4"/>
    <n v="1"/>
    <x v="7"/>
    <n v="89"/>
    <n v="88"/>
    <n v="86"/>
    <n v="82"/>
    <n v="80"/>
    <n v="425"/>
    <n v="500"/>
    <x v="0"/>
    <n v="85"/>
  </r>
  <r>
    <x v="12"/>
    <s v="Female"/>
    <x v="1"/>
    <n v="1"/>
    <x v="8"/>
    <n v="85"/>
    <n v="88"/>
    <n v="82"/>
    <n v="81"/>
    <n v="90"/>
    <n v="426"/>
    <n v="500"/>
    <x v="0"/>
    <n v="85.2"/>
  </r>
  <r>
    <x v="13"/>
    <s v="Male"/>
    <x v="0"/>
    <n v="1"/>
    <x v="9"/>
    <n v="77"/>
    <n v="73"/>
    <n v="75"/>
    <n v="80"/>
    <n v="82"/>
    <n v="387"/>
    <n v="500"/>
    <x v="0"/>
    <n v="77.400000000000006"/>
  </r>
  <r>
    <x v="14"/>
    <s v="Female"/>
    <x v="2"/>
    <n v="1"/>
    <x v="10"/>
    <n v="87"/>
    <n v="85"/>
    <n v="83"/>
    <n v="77"/>
    <n v="78"/>
    <n v="410"/>
    <n v="500"/>
    <x v="0"/>
    <n v="82"/>
  </r>
  <r>
    <x v="15"/>
    <s v="Female"/>
    <x v="2"/>
    <n v="1"/>
    <x v="11"/>
    <n v="90"/>
    <n v="92"/>
    <n v="90"/>
    <n v="91"/>
    <n v="88"/>
    <n v="451"/>
    <n v="500"/>
    <x v="0"/>
    <n v="90.2"/>
  </r>
  <r>
    <x v="16"/>
    <s v="Male"/>
    <x v="0"/>
    <n v="1"/>
    <x v="12"/>
    <n v="88"/>
    <n v="87"/>
    <n v="85"/>
    <n v="86"/>
    <n v="82"/>
    <n v="428"/>
    <n v="500"/>
    <x v="0"/>
    <n v="85.6"/>
  </r>
  <r>
    <x v="17"/>
    <s v="Male"/>
    <x v="1"/>
    <n v="1"/>
    <x v="9"/>
    <n v="58"/>
    <n v="60"/>
    <n v="65"/>
    <n v="60"/>
    <n v="45"/>
    <n v="288"/>
    <n v="500"/>
    <x v="1"/>
    <n v="57.599999999999994"/>
  </r>
  <r>
    <x v="18"/>
    <s v="Female"/>
    <x v="1"/>
    <n v="1"/>
    <x v="13"/>
    <n v="88"/>
    <n v="85"/>
    <n v="68"/>
    <n v="74"/>
    <n v="78"/>
    <n v="393"/>
    <n v="500"/>
    <x v="0"/>
    <n v="78.600000000000009"/>
  </r>
  <r>
    <x v="19"/>
    <s v="Female"/>
    <x v="1"/>
    <n v="1"/>
    <x v="14"/>
    <n v="88"/>
    <n v="87"/>
    <n v="89"/>
    <n v="76"/>
    <n v="68"/>
    <n v="408"/>
    <n v="500"/>
    <x v="0"/>
    <n v="81.599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location ref="A3:C10" firstHeaderRow="0" firstDataRow="1" firstDataCol="1"/>
  <pivotFields count="14">
    <pivotField axis="axisRow" showAll="0">
      <items count="21">
        <item x="0"/>
        <item x="1"/>
        <item x="2"/>
        <item x="3"/>
        <item x="4"/>
        <item x="5"/>
        <item x="6"/>
        <item x="7"/>
        <item x="8"/>
        <item x="9"/>
        <item x="10"/>
        <item x="11"/>
        <item x="12"/>
        <item x="13"/>
        <item x="14"/>
        <item x="15"/>
        <item x="16"/>
        <item x="17"/>
        <item x="18"/>
        <item x="19"/>
        <item t="default"/>
      </items>
    </pivotField>
    <pivotField showAll="0"/>
    <pivotField dataField="1" showAll="0">
      <items count="6">
        <item h="1" x="3"/>
        <item h="1" x="0"/>
        <item x="1"/>
        <item h="1" x="4"/>
        <item h="1" x="2"/>
        <item t="default"/>
      </items>
    </pivotField>
    <pivotField showAll="0"/>
    <pivotField showAll="0">
      <items count="16">
        <item x="0"/>
        <item x="6"/>
        <item x="14"/>
        <item x="13"/>
        <item x="1"/>
        <item x="3"/>
        <item x="9"/>
        <item x="7"/>
        <item x="2"/>
        <item x="10"/>
        <item x="8"/>
        <item x="5"/>
        <item x="12"/>
        <item x="4"/>
        <item x="11"/>
        <item t="default"/>
      </items>
    </pivotField>
    <pivotField showAll="0"/>
    <pivotField showAll="0"/>
    <pivotField showAll="0"/>
    <pivotField showAll="0"/>
    <pivotField showAll="0"/>
    <pivotField showAll="0"/>
    <pivotField showAll="0"/>
    <pivotField showAll="0">
      <items count="3">
        <item x="1"/>
        <item x="0"/>
        <item t="default"/>
      </items>
    </pivotField>
    <pivotField dataField="1" showAll="0"/>
  </pivotFields>
  <rowFields count="1">
    <field x="0"/>
  </rowFields>
  <rowItems count="7">
    <i>
      <x v="2"/>
    </i>
    <i>
      <x v="6"/>
    </i>
    <i>
      <x v="12"/>
    </i>
    <i>
      <x v="17"/>
    </i>
    <i>
      <x v="18"/>
    </i>
    <i>
      <x v="19"/>
    </i>
    <i t="grand">
      <x/>
    </i>
  </rowItems>
  <colFields count="1">
    <field x="-2"/>
  </colFields>
  <colItems count="2">
    <i>
      <x/>
    </i>
    <i i="1">
      <x v="1"/>
    </i>
  </colItems>
  <dataFields count="2">
    <dataField name="Count of Department" fld="2" subtotal="count" baseField="0" baseItem="0"/>
    <dataField name="Sum of Overall%" fld="13" baseField="0" baseItem="0"/>
  </dataFields>
  <chartFormats count="8">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3">
  <location ref="A27:C48" firstHeaderRow="0" firstDataRow="1" firstDataCol="1"/>
  <pivotFields count="14">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items count="6">
        <item x="3"/>
        <item x="0"/>
        <item x="1"/>
        <item x="4"/>
        <item x="2"/>
        <item t="default"/>
      </items>
    </pivotField>
    <pivotField showAll="0"/>
    <pivotField dataField="1" showAll="0"/>
    <pivotField showAll="0"/>
    <pivotField showAll="0"/>
    <pivotField showAll="0"/>
    <pivotField showAll="0"/>
    <pivotField showAll="0"/>
    <pivotField showAll="0"/>
    <pivotField showAll="0"/>
    <pivotField dataField="1" showAll="0">
      <items count="3">
        <item x="1"/>
        <item x="0"/>
        <item t="default"/>
      </items>
    </pivotField>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Attendance %" fld="4" baseField="0" baseItem="0"/>
    <dataField name="Count of Performance Status" fld="12" subtotal="count" baseField="0" baseItem="0"/>
  </dataFields>
  <chartFormats count="4">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0">
  <location ref="A51:C72" firstHeaderRow="0" firstDataRow="1" firstDataCol="1"/>
  <pivotFields count="14">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items count="6">
        <item x="3"/>
        <item x="0"/>
        <item x="1"/>
        <item x="4"/>
        <item x="2"/>
        <item t="default"/>
      </items>
    </pivotField>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dataField="1"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Total Marks Obtained" fld="10" baseField="0" baseItem="0"/>
    <dataField name="Sum of Overall%" fld="13" baseField="0" baseItem="0"/>
  </dataFields>
  <chartFormats count="2">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udent_ID" sourceName="Student ID ">
  <pivotTables>
    <pivotTable tabId="3" name="PivotTable1"/>
  </pivotTables>
  <data>
    <tabular pivotCacheId="1">
      <items count="20">
        <i x="2" s="1"/>
        <i x="6" s="1"/>
        <i x="12" s="1"/>
        <i x="17" s="1"/>
        <i x="18" s="1"/>
        <i x="19" s="1"/>
        <i x="0" s="1" nd="1"/>
        <i x="1" s="1" nd="1"/>
        <i x="3" s="1" nd="1"/>
        <i x="4" s="1" nd="1"/>
        <i x="5" s="1" nd="1"/>
        <i x="7" s="1" nd="1"/>
        <i x="8" s="1" nd="1"/>
        <i x="9" s="1" nd="1"/>
        <i x="10" s="1" nd="1"/>
        <i x="11" s="1" nd="1"/>
        <i x="13" s="1" nd="1"/>
        <i x="14" s="1" nd="1"/>
        <i x="15" s="1" nd="1"/>
        <i x="1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1"/>
  </pivotTables>
  <data>
    <tabular pivotCacheId="1">
      <items count="5">
        <i x="3"/>
        <i x="0"/>
        <i x="1" s="1"/>
        <i x="4"/>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ttendance" sourceName="Attendance %">
  <pivotTables>
    <pivotTable tabId="3" name="PivotTable1"/>
  </pivotTables>
  <data>
    <tabular pivotCacheId="1">
      <items count="15">
        <i x="14" s="1"/>
        <i x="13" s="1"/>
        <i x="9" s="1"/>
        <i x="2" s="1"/>
        <i x="8" s="1"/>
        <i x="0" s="1" nd="1"/>
        <i x="6" s="1" nd="1"/>
        <i x="1" s="1" nd="1"/>
        <i x="3" s="1" nd="1"/>
        <i x="7" s="1" nd="1"/>
        <i x="10" s="1" nd="1"/>
        <i x="5" s="1" nd="1"/>
        <i x="12" s="1" nd="1"/>
        <i x="4"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udent ID  2" cache="Slicer_Student_ID" caption="Student ID " startItem="9" rowHeight="241300"/>
  <slicer name="Department 2" cache="Slicer_Department" caption="Department" rowHeight="241300"/>
  <slicer name="Attendance % 2" cache="Slicer_Attendance" caption="Attendance %"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udent ID  1" cache="Slicer_Student_ID" caption="Student ID " startItem="9" rowHeight="241300"/>
  <slicer name="Department 1" cache="Slicer_Department" caption="Department" rowHeight="241300"/>
  <slicer name="Attendance % 1" cache="Slicer_Attendance" caption="Attendance %" startItem="1" rowHeight="241300"/>
</slicers>
</file>

<file path=xl/tables/table1.xml><?xml version="1.0" encoding="utf-8"?>
<table xmlns="http://schemas.openxmlformats.org/spreadsheetml/2006/main" id="1" name="Table1" displayName="Table1" ref="A1:N22" totalsRowCount="1">
  <autoFilter ref="A1:N22"/>
  <tableColumns count="14">
    <tableColumn id="1" name="Student ID "/>
    <tableColumn id="2" name="Gender"/>
    <tableColumn id="3" name="Department"/>
    <tableColumn id="4" name="Semester"/>
    <tableColumn id="5" name="Attendance %" totalsRowLabel="82.3"/>
    <tableColumn id="6" name="Subject 1"/>
    <tableColumn id="7" name="Subject 2"/>
    <tableColumn id="8" name="Subject 3"/>
    <tableColumn id="9" name="Subject 4"/>
    <tableColumn id="10" name="Subject 5"/>
    <tableColumn id="11" name="Total Marks Obtained">
      <calculatedColumnFormula>SUM(F2:J2)</calculatedColumnFormula>
    </tableColumn>
    <tableColumn id="12" name="Total Marks"/>
    <tableColumn id="13" name="Performance Status" totalsRowLabel="Good">
      <calculatedColumnFormula>IF(K2:K21&gt;=300,"Good","Average")</calculatedColumnFormula>
    </tableColumn>
    <tableColumn id="14" name="Overall%">
      <calculatedColumnFormula>K2/L2*100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72"/>
  <sheetViews>
    <sheetView topLeftCell="A20" workbookViewId="0">
      <selection activeCell="D36" sqref="D36"/>
    </sheetView>
  </sheetViews>
  <sheetFormatPr defaultRowHeight="15" x14ac:dyDescent="0.25"/>
  <cols>
    <col min="1" max="1" width="13.140625" customWidth="1"/>
    <col min="2" max="2" width="20" customWidth="1"/>
    <col min="3" max="3" width="26" customWidth="1"/>
    <col min="4" max="4" width="27.140625" customWidth="1"/>
    <col min="5" max="5" width="13.140625" customWidth="1"/>
    <col min="6" max="6" width="27.140625" customWidth="1"/>
    <col min="7" max="7" width="15.7109375" customWidth="1"/>
    <col min="8" max="8" width="13.140625" bestFit="1" customWidth="1"/>
    <col min="9" max="9" width="27.140625" customWidth="1"/>
    <col min="10" max="14" width="15.7109375" customWidth="1"/>
    <col min="15" max="15" width="15.7109375" bestFit="1" customWidth="1"/>
  </cols>
  <sheetData>
    <row r="3" spans="1:10" x14ac:dyDescent="0.25">
      <c r="A3" s="2" t="s">
        <v>41</v>
      </c>
      <c r="B3" t="s">
        <v>46</v>
      </c>
      <c r="C3" t="s">
        <v>45</v>
      </c>
    </row>
    <row r="4" spans="1:10" x14ac:dyDescent="0.25">
      <c r="A4" s="3" t="s">
        <v>10</v>
      </c>
      <c r="B4" s="4">
        <v>1</v>
      </c>
      <c r="C4" s="4">
        <v>82.399999999999991</v>
      </c>
      <c r="E4" s="3"/>
      <c r="F4" s="4"/>
      <c r="G4" s="4"/>
      <c r="H4" s="3"/>
      <c r="I4" s="4"/>
      <c r="J4" s="4"/>
    </row>
    <row r="5" spans="1:10" x14ac:dyDescent="0.25">
      <c r="A5" s="3" t="s">
        <v>14</v>
      </c>
      <c r="B5" s="4">
        <v>1</v>
      </c>
      <c r="C5" s="4">
        <v>84.8</v>
      </c>
      <c r="E5" s="3"/>
      <c r="F5" s="4"/>
      <c r="G5" s="4"/>
      <c r="H5" s="3"/>
      <c r="I5" s="4"/>
      <c r="J5" s="4"/>
    </row>
    <row r="6" spans="1:10" x14ac:dyDescent="0.25">
      <c r="A6" s="3" t="s">
        <v>20</v>
      </c>
      <c r="B6" s="4">
        <v>1</v>
      </c>
      <c r="C6" s="4">
        <v>85.2</v>
      </c>
      <c r="E6" s="3"/>
      <c r="F6" s="4"/>
      <c r="G6" s="4"/>
      <c r="H6" s="3"/>
      <c r="I6" s="4"/>
      <c r="J6" s="4"/>
    </row>
    <row r="7" spans="1:10" x14ac:dyDescent="0.25">
      <c r="A7" s="3" t="s">
        <v>25</v>
      </c>
      <c r="B7" s="4">
        <v>1</v>
      </c>
      <c r="C7" s="4">
        <v>57.599999999999994</v>
      </c>
      <c r="E7" s="3"/>
      <c r="F7" s="4"/>
      <c r="G7" s="4"/>
      <c r="H7" s="3"/>
      <c r="I7" s="4"/>
      <c r="J7" s="4"/>
    </row>
    <row r="8" spans="1:10" x14ac:dyDescent="0.25">
      <c r="A8" s="3" t="s">
        <v>26</v>
      </c>
      <c r="B8" s="4">
        <v>1</v>
      </c>
      <c r="C8" s="4">
        <v>78.600000000000009</v>
      </c>
      <c r="E8" s="3"/>
      <c r="F8" s="4"/>
      <c r="G8" s="4"/>
      <c r="H8" s="3"/>
      <c r="I8" s="4"/>
      <c r="J8" s="4"/>
    </row>
    <row r="9" spans="1:10" x14ac:dyDescent="0.25">
      <c r="A9" s="3" t="s">
        <v>27</v>
      </c>
      <c r="B9" s="4">
        <v>1</v>
      </c>
      <c r="C9" s="4">
        <v>81.599999999999994</v>
      </c>
      <c r="E9" s="3"/>
      <c r="F9" s="4"/>
      <c r="G9" s="4"/>
      <c r="H9" s="3"/>
      <c r="I9" s="4"/>
      <c r="J9" s="4"/>
    </row>
    <row r="10" spans="1:10" x14ac:dyDescent="0.25">
      <c r="A10" s="3" t="s">
        <v>42</v>
      </c>
      <c r="B10" s="4">
        <v>6</v>
      </c>
      <c r="C10" s="4">
        <v>470.20000000000005</v>
      </c>
      <c r="E10" s="3"/>
      <c r="F10" s="4"/>
      <c r="G10" s="4"/>
      <c r="H10" s="3"/>
      <c r="I10" s="4"/>
      <c r="J10" s="4"/>
    </row>
    <row r="11" spans="1:10" x14ac:dyDescent="0.25">
      <c r="E11" s="3"/>
      <c r="F11" s="4"/>
      <c r="G11" s="4"/>
      <c r="H11" s="3"/>
      <c r="I11" s="4"/>
      <c r="J11" s="4"/>
    </row>
    <row r="12" spans="1:10" x14ac:dyDescent="0.25">
      <c r="E12" s="3"/>
      <c r="F12" s="4"/>
      <c r="G12" s="4"/>
      <c r="H12" s="3"/>
      <c r="I12" s="4"/>
      <c r="J12" s="4"/>
    </row>
    <row r="13" spans="1:10" x14ac:dyDescent="0.25">
      <c r="E13" s="3"/>
      <c r="F13" s="4"/>
      <c r="G13" s="4"/>
      <c r="H13" s="3"/>
      <c r="I13" s="4"/>
      <c r="J13" s="4"/>
    </row>
    <row r="14" spans="1:10" x14ac:dyDescent="0.25">
      <c r="E14" s="3"/>
      <c r="F14" s="4"/>
      <c r="G14" s="4"/>
      <c r="H14" s="3"/>
      <c r="I14" s="4"/>
      <c r="J14" s="4"/>
    </row>
    <row r="15" spans="1:10" x14ac:dyDescent="0.25">
      <c r="E15" s="3"/>
      <c r="F15" s="4"/>
      <c r="G15" s="4"/>
      <c r="H15" s="3"/>
      <c r="I15" s="4"/>
      <c r="J15" s="4"/>
    </row>
    <row r="16" spans="1:10" x14ac:dyDescent="0.25">
      <c r="E16" s="3"/>
      <c r="F16" s="4"/>
      <c r="G16" s="4"/>
      <c r="H16" s="3"/>
      <c r="I16" s="4"/>
      <c r="J16" s="4"/>
    </row>
    <row r="17" spans="1:10" x14ac:dyDescent="0.25">
      <c r="E17" s="3"/>
      <c r="F17" s="4"/>
      <c r="G17" s="4"/>
      <c r="H17" s="3"/>
      <c r="I17" s="4"/>
      <c r="J17" s="4"/>
    </row>
    <row r="18" spans="1:10" x14ac:dyDescent="0.25">
      <c r="E18" s="3"/>
      <c r="F18" s="4"/>
      <c r="G18" s="4"/>
      <c r="H18" s="3"/>
      <c r="I18" s="4"/>
      <c r="J18" s="4"/>
    </row>
    <row r="19" spans="1:10" x14ac:dyDescent="0.25">
      <c r="E19" s="3"/>
      <c r="F19" s="4"/>
      <c r="G19" s="4"/>
      <c r="H19" s="3"/>
      <c r="I19" s="4"/>
      <c r="J19" s="4"/>
    </row>
    <row r="20" spans="1:10" x14ac:dyDescent="0.25">
      <c r="E20" s="3"/>
      <c r="F20" s="4"/>
      <c r="G20" s="4"/>
      <c r="H20" s="3"/>
      <c r="I20" s="4"/>
      <c r="J20" s="4"/>
    </row>
    <row r="21" spans="1:10" x14ac:dyDescent="0.25">
      <c r="E21" s="3"/>
      <c r="F21" s="4"/>
      <c r="G21" s="4"/>
      <c r="H21" s="3"/>
      <c r="I21" s="4"/>
      <c r="J21" s="4"/>
    </row>
    <row r="22" spans="1:10" x14ac:dyDescent="0.25">
      <c r="E22" s="3"/>
      <c r="F22" s="4"/>
      <c r="G22" s="4"/>
      <c r="H22" s="3"/>
      <c r="I22" s="4"/>
      <c r="J22" s="4"/>
    </row>
    <row r="23" spans="1:10" x14ac:dyDescent="0.25">
      <c r="E23" s="3"/>
      <c r="F23" s="4"/>
      <c r="G23" s="4"/>
      <c r="H23" s="3"/>
      <c r="I23" s="4"/>
      <c r="J23" s="4"/>
    </row>
    <row r="24" spans="1:10" x14ac:dyDescent="0.25">
      <c r="E24" s="3"/>
      <c r="F24" s="4"/>
      <c r="G24" s="4"/>
      <c r="H24" s="3"/>
      <c r="I24" s="4"/>
      <c r="J24" s="4"/>
    </row>
    <row r="27" spans="1:10" x14ac:dyDescent="0.25">
      <c r="A27" s="2" t="s">
        <v>41</v>
      </c>
      <c r="B27" t="s">
        <v>43</v>
      </c>
      <c r="C27" t="s">
        <v>47</v>
      </c>
    </row>
    <row r="28" spans="1:10" x14ac:dyDescent="0.25">
      <c r="A28" s="3" t="s">
        <v>8</v>
      </c>
      <c r="B28" s="4">
        <v>65</v>
      </c>
      <c r="C28" s="4">
        <v>1</v>
      </c>
    </row>
    <row r="29" spans="1:10" x14ac:dyDescent="0.25">
      <c r="A29" s="3" t="s">
        <v>9</v>
      </c>
      <c r="B29" s="4">
        <v>77</v>
      </c>
      <c r="C29" s="4">
        <v>1</v>
      </c>
    </row>
    <row r="30" spans="1:10" x14ac:dyDescent="0.25">
      <c r="A30" s="3" t="s">
        <v>10</v>
      </c>
      <c r="B30" s="4">
        <v>87</v>
      </c>
      <c r="C30" s="4">
        <v>1</v>
      </c>
    </row>
    <row r="31" spans="1:10" x14ac:dyDescent="0.25">
      <c r="A31" s="3" t="s">
        <v>11</v>
      </c>
      <c r="B31" s="4">
        <v>78</v>
      </c>
      <c r="C31" s="4">
        <v>1</v>
      </c>
    </row>
    <row r="32" spans="1:10" x14ac:dyDescent="0.25">
      <c r="A32" s="3" t="s">
        <v>12</v>
      </c>
      <c r="B32" s="4">
        <v>92</v>
      </c>
      <c r="C32" s="4">
        <v>1</v>
      </c>
    </row>
    <row r="33" spans="1:3" x14ac:dyDescent="0.25">
      <c r="A33" s="3" t="s">
        <v>13</v>
      </c>
      <c r="B33" s="4">
        <v>90</v>
      </c>
      <c r="C33" s="4">
        <v>1</v>
      </c>
    </row>
    <row r="34" spans="1:3" x14ac:dyDescent="0.25">
      <c r="A34" s="3" t="s">
        <v>14</v>
      </c>
      <c r="B34" s="4">
        <v>87</v>
      </c>
      <c r="C34" s="4">
        <v>1</v>
      </c>
    </row>
    <row r="35" spans="1:3" x14ac:dyDescent="0.25">
      <c r="A35" s="3" t="s">
        <v>15</v>
      </c>
      <c r="B35" s="4">
        <v>90</v>
      </c>
      <c r="C35" s="4">
        <v>1</v>
      </c>
    </row>
    <row r="36" spans="1:3" x14ac:dyDescent="0.25">
      <c r="A36" s="3" t="s">
        <v>16</v>
      </c>
      <c r="B36" s="4">
        <v>78</v>
      </c>
      <c r="C36" s="4">
        <v>1</v>
      </c>
    </row>
    <row r="37" spans="1:3" x14ac:dyDescent="0.25">
      <c r="A37" s="3" t="s">
        <v>17</v>
      </c>
      <c r="B37" s="4">
        <v>77</v>
      </c>
      <c r="C37" s="4">
        <v>1</v>
      </c>
    </row>
    <row r="38" spans="1:3" x14ac:dyDescent="0.25">
      <c r="A38" s="3" t="s">
        <v>18</v>
      </c>
      <c r="B38" s="4">
        <v>69</v>
      </c>
      <c r="C38" s="4">
        <v>1</v>
      </c>
    </row>
    <row r="39" spans="1:3" x14ac:dyDescent="0.25">
      <c r="A39" s="3" t="s">
        <v>19</v>
      </c>
      <c r="B39" s="4">
        <v>85</v>
      </c>
      <c r="C39" s="4">
        <v>1</v>
      </c>
    </row>
    <row r="40" spans="1:3" x14ac:dyDescent="0.25">
      <c r="A40" s="3" t="s">
        <v>20</v>
      </c>
      <c r="B40" s="4">
        <v>89</v>
      </c>
      <c r="C40" s="4">
        <v>1</v>
      </c>
    </row>
    <row r="41" spans="1:3" x14ac:dyDescent="0.25">
      <c r="A41" s="3" t="s">
        <v>21</v>
      </c>
      <c r="B41" s="4">
        <v>79</v>
      </c>
      <c r="C41" s="4">
        <v>1</v>
      </c>
    </row>
    <row r="42" spans="1:3" x14ac:dyDescent="0.25">
      <c r="A42" s="3" t="s">
        <v>22</v>
      </c>
      <c r="B42" s="4">
        <v>88</v>
      </c>
      <c r="C42" s="4">
        <v>1</v>
      </c>
    </row>
    <row r="43" spans="1:3" x14ac:dyDescent="0.25">
      <c r="A43" s="3" t="s">
        <v>23</v>
      </c>
      <c r="B43" s="4">
        <v>96</v>
      </c>
      <c r="C43" s="4">
        <v>1</v>
      </c>
    </row>
    <row r="44" spans="1:3" x14ac:dyDescent="0.25">
      <c r="A44" s="3" t="s">
        <v>24</v>
      </c>
      <c r="B44" s="4">
        <v>91</v>
      </c>
      <c r="C44" s="4">
        <v>1</v>
      </c>
    </row>
    <row r="45" spans="1:3" x14ac:dyDescent="0.25">
      <c r="A45" s="3" t="s">
        <v>25</v>
      </c>
      <c r="B45" s="4">
        <v>79</v>
      </c>
      <c r="C45" s="4">
        <v>1</v>
      </c>
    </row>
    <row r="46" spans="1:3" x14ac:dyDescent="0.25">
      <c r="A46" s="3" t="s">
        <v>26</v>
      </c>
      <c r="B46" s="4">
        <v>75</v>
      </c>
      <c r="C46" s="4">
        <v>1</v>
      </c>
    </row>
    <row r="47" spans="1:3" x14ac:dyDescent="0.25">
      <c r="A47" s="3" t="s">
        <v>27</v>
      </c>
      <c r="B47" s="4">
        <v>74</v>
      </c>
      <c r="C47" s="4">
        <v>1</v>
      </c>
    </row>
    <row r="48" spans="1:3" x14ac:dyDescent="0.25">
      <c r="A48" s="3" t="s">
        <v>42</v>
      </c>
      <c r="B48" s="4">
        <v>1646</v>
      </c>
      <c r="C48" s="4">
        <v>20</v>
      </c>
    </row>
    <row r="51" spans="1:3" x14ac:dyDescent="0.25">
      <c r="A51" s="2" t="s">
        <v>41</v>
      </c>
      <c r="B51" t="s">
        <v>44</v>
      </c>
      <c r="C51" t="s">
        <v>45</v>
      </c>
    </row>
    <row r="52" spans="1:3" x14ac:dyDescent="0.25">
      <c r="A52" s="3" t="s">
        <v>8</v>
      </c>
      <c r="B52" s="4">
        <v>326</v>
      </c>
      <c r="C52" s="4">
        <v>65.2</v>
      </c>
    </row>
    <row r="53" spans="1:3" x14ac:dyDescent="0.25">
      <c r="A53" s="3" t="s">
        <v>9</v>
      </c>
      <c r="B53" s="4">
        <v>359</v>
      </c>
      <c r="C53" s="4">
        <v>71.8</v>
      </c>
    </row>
    <row r="54" spans="1:3" x14ac:dyDescent="0.25">
      <c r="A54" s="3" t="s">
        <v>10</v>
      </c>
      <c r="B54" s="4">
        <v>412</v>
      </c>
      <c r="C54" s="4">
        <v>82.399999999999991</v>
      </c>
    </row>
    <row r="55" spans="1:3" x14ac:dyDescent="0.25">
      <c r="A55" s="3" t="s">
        <v>11</v>
      </c>
      <c r="B55" s="4">
        <v>408</v>
      </c>
      <c r="C55" s="4">
        <v>81.599999999999994</v>
      </c>
    </row>
    <row r="56" spans="1:3" x14ac:dyDescent="0.25">
      <c r="A56" s="3" t="s">
        <v>12</v>
      </c>
      <c r="B56" s="4">
        <v>253</v>
      </c>
      <c r="C56" s="4">
        <v>50.6</v>
      </c>
    </row>
    <row r="57" spans="1:3" x14ac:dyDescent="0.25">
      <c r="A57" s="3" t="s">
        <v>13</v>
      </c>
      <c r="B57" s="4">
        <v>373</v>
      </c>
      <c r="C57" s="4">
        <v>74.599999999999994</v>
      </c>
    </row>
    <row r="58" spans="1:3" x14ac:dyDescent="0.25">
      <c r="A58" s="3" t="s">
        <v>14</v>
      </c>
      <c r="B58" s="4">
        <v>424</v>
      </c>
      <c r="C58" s="4">
        <v>84.8</v>
      </c>
    </row>
    <row r="59" spans="1:3" x14ac:dyDescent="0.25">
      <c r="A59" s="3" t="s">
        <v>15</v>
      </c>
      <c r="B59" s="4">
        <v>419</v>
      </c>
      <c r="C59" s="4">
        <v>83.8</v>
      </c>
    </row>
    <row r="60" spans="1:3" x14ac:dyDescent="0.25">
      <c r="A60" s="3" t="s">
        <v>16</v>
      </c>
      <c r="B60" s="4">
        <v>404</v>
      </c>
      <c r="C60" s="4">
        <v>80.800000000000011</v>
      </c>
    </row>
    <row r="61" spans="1:3" x14ac:dyDescent="0.25">
      <c r="A61" s="3" t="s">
        <v>17</v>
      </c>
      <c r="B61" s="4">
        <v>285</v>
      </c>
      <c r="C61" s="4">
        <v>56.999999999999993</v>
      </c>
    </row>
    <row r="62" spans="1:3" x14ac:dyDescent="0.25">
      <c r="A62" s="3" t="s">
        <v>18</v>
      </c>
      <c r="B62" s="4">
        <v>405</v>
      </c>
      <c r="C62" s="4">
        <v>81</v>
      </c>
    </row>
    <row r="63" spans="1:3" x14ac:dyDescent="0.25">
      <c r="A63" s="3" t="s">
        <v>19</v>
      </c>
      <c r="B63" s="4">
        <v>425</v>
      </c>
      <c r="C63" s="4">
        <v>85</v>
      </c>
    </row>
    <row r="64" spans="1:3" x14ac:dyDescent="0.25">
      <c r="A64" s="3" t="s">
        <v>20</v>
      </c>
      <c r="B64" s="4">
        <v>426</v>
      </c>
      <c r="C64" s="4">
        <v>85.2</v>
      </c>
    </row>
    <row r="65" spans="1:3" x14ac:dyDescent="0.25">
      <c r="A65" s="3" t="s">
        <v>21</v>
      </c>
      <c r="B65" s="4">
        <v>387</v>
      </c>
      <c r="C65" s="4">
        <v>77.400000000000006</v>
      </c>
    </row>
    <row r="66" spans="1:3" x14ac:dyDescent="0.25">
      <c r="A66" s="3" t="s">
        <v>22</v>
      </c>
      <c r="B66" s="4">
        <v>410</v>
      </c>
      <c r="C66" s="4">
        <v>82</v>
      </c>
    </row>
    <row r="67" spans="1:3" x14ac:dyDescent="0.25">
      <c r="A67" s="3" t="s">
        <v>23</v>
      </c>
      <c r="B67" s="4">
        <v>451</v>
      </c>
      <c r="C67" s="4">
        <v>90.2</v>
      </c>
    </row>
    <row r="68" spans="1:3" x14ac:dyDescent="0.25">
      <c r="A68" s="3" t="s">
        <v>24</v>
      </c>
      <c r="B68" s="4">
        <v>428</v>
      </c>
      <c r="C68" s="4">
        <v>85.6</v>
      </c>
    </row>
    <row r="69" spans="1:3" x14ac:dyDescent="0.25">
      <c r="A69" s="3" t="s">
        <v>25</v>
      </c>
      <c r="B69" s="4">
        <v>288</v>
      </c>
      <c r="C69" s="4">
        <v>57.599999999999994</v>
      </c>
    </row>
    <row r="70" spans="1:3" x14ac:dyDescent="0.25">
      <c r="A70" s="3" t="s">
        <v>26</v>
      </c>
      <c r="B70" s="4">
        <v>393</v>
      </c>
      <c r="C70" s="4">
        <v>78.600000000000009</v>
      </c>
    </row>
    <row r="71" spans="1:3" x14ac:dyDescent="0.25">
      <c r="A71" s="3" t="s">
        <v>27</v>
      </c>
      <c r="B71" s="4">
        <v>408</v>
      </c>
      <c r="C71" s="4">
        <v>81.599999999999994</v>
      </c>
    </row>
    <row r="72" spans="1:3" x14ac:dyDescent="0.25">
      <c r="A72" s="3" t="s">
        <v>42</v>
      </c>
      <c r="B72" s="4">
        <v>7684</v>
      </c>
      <c r="C72" s="4">
        <v>1536.8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Views>
    <sheetView topLeftCell="B1" zoomScaleNormal="100" workbookViewId="0">
      <selection activeCell="F2" sqref="F2"/>
    </sheetView>
  </sheetViews>
  <sheetFormatPr defaultRowHeight="15" x14ac:dyDescent="0.25"/>
  <cols>
    <col min="1" max="1" width="12.85546875" customWidth="1"/>
    <col min="2" max="2" width="9.85546875" customWidth="1"/>
    <col min="3" max="3" width="13.85546875" customWidth="1"/>
    <col min="4" max="4" width="11.5703125" customWidth="1"/>
    <col min="5" max="5" width="15.42578125" customWidth="1"/>
    <col min="6" max="6" width="19.85546875" customWidth="1"/>
    <col min="7" max="7" width="13.5703125" customWidth="1"/>
    <col min="8" max="8" width="12.140625" customWidth="1"/>
    <col min="9" max="10" width="11.140625" customWidth="1"/>
    <col min="11" max="11" width="27.42578125" customWidth="1"/>
    <col min="12" max="12" width="13.42578125" customWidth="1"/>
    <col min="13" max="13" width="20.42578125" customWidth="1"/>
    <col min="14" max="14" width="11.140625" customWidth="1"/>
    <col min="15" max="15" width="9.140625" customWidth="1"/>
  </cols>
  <sheetData>
    <row r="1" spans="1:14" x14ac:dyDescent="0.25">
      <c r="A1" t="s">
        <v>0</v>
      </c>
      <c r="B1" t="s">
        <v>1</v>
      </c>
      <c r="C1" t="s">
        <v>2</v>
      </c>
      <c r="D1" t="s">
        <v>3</v>
      </c>
      <c r="E1" t="s">
        <v>5</v>
      </c>
      <c r="F1" t="s">
        <v>35</v>
      </c>
      <c r="G1" t="s">
        <v>36</v>
      </c>
      <c r="H1" t="s">
        <v>37</v>
      </c>
      <c r="I1" t="s">
        <v>38</v>
      </c>
      <c r="J1" t="s">
        <v>39</v>
      </c>
      <c r="K1" t="s">
        <v>40</v>
      </c>
      <c r="L1" t="s">
        <v>4</v>
      </c>
      <c r="M1" t="s">
        <v>7</v>
      </c>
      <c r="N1" t="s">
        <v>6</v>
      </c>
    </row>
    <row r="2" spans="1:14" x14ac:dyDescent="0.25">
      <c r="A2" t="s">
        <v>8</v>
      </c>
      <c r="B2" t="s">
        <v>28</v>
      </c>
      <c r="C2" t="s">
        <v>30</v>
      </c>
      <c r="D2">
        <v>1</v>
      </c>
      <c r="E2">
        <v>65</v>
      </c>
      <c r="F2">
        <v>80</v>
      </c>
      <c r="G2">
        <v>57</v>
      </c>
      <c r="H2">
        <v>45</v>
      </c>
      <c r="I2">
        <v>66</v>
      </c>
      <c r="J2">
        <v>78</v>
      </c>
      <c r="K2">
        <f>SUM(F2:J2)</f>
        <v>326</v>
      </c>
      <c r="L2">
        <v>500</v>
      </c>
      <c r="M2" t="str">
        <f>IF(K2:K21&gt;=300,"Good","Average")</f>
        <v>Good</v>
      </c>
      <c r="N2">
        <f>K2/L2*100</f>
        <v>65.2</v>
      </c>
    </row>
    <row r="3" spans="1:14" x14ac:dyDescent="0.25">
      <c r="A3" t="s">
        <v>9</v>
      </c>
      <c r="B3" t="s">
        <v>29</v>
      </c>
      <c r="C3" t="s">
        <v>30</v>
      </c>
      <c r="D3">
        <v>1</v>
      </c>
      <c r="E3">
        <v>77</v>
      </c>
      <c r="F3">
        <v>67</v>
      </c>
      <c r="G3">
        <v>68</v>
      </c>
      <c r="H3">
        <v>77</v>
      </c>
      <c r="I3">
        <v>59</v>
      </c>
      <c r="J3">
        <v>88</v>
      </c>
      <c r="K3">
        <f t="shared" ref="K3:K21" si="0">SUM(F3:J3)</f>
        <v>359</v>
      </c>
      <c r="L3">
        <v>500</v>
      </c>
      <c r="M3" t="str">
        <f t="shared" ref="M3:M21" si="1">IF(K3:K22&gt;=300,"Good","Average")</f>
        <v>Good</v>
      </c>
      <c r="N3">
        <f t="shared" ref="N3:N21" si="2">K3/L3*100</f>
        <v>71.8</v>
      </c>
    </row>
    <row r="4" spans="1:14" x14ac:dyDescent="0.25">
      <c r="A4" t="s">
        <v>10</v>
      </c>
      <c r="B4" t="s">
        <v>29</v>
      </c>
      <c r="C4" t="s">
        <v>31</v>
      </c>
      <c r="D4">
        <v>1</v>
      </c>
      <c r="E4">
        <v>87</v>
      </c>
      <c r="F4">
        <v>90</v>
      </c>
      <c r="G4">
        <v>87</v>
      </c>
      <c r="H4">
        <v>76</v>
      </c>
      <c r="I4">
        <v>79</v>
      </c>
      <c r="J4">
        <v>80</v>
      </c>
      <c r="K4">
        <f t="shared" si="0"/>
        <v>412</v>
      </c>
      <c r="L4">
        <v>500</v>
      </c>
      <c r="M4" t="str">
        <f t="shared" si="1"/>
        <v>Good</v>
      </c>
      <c r="N4">
        <f t="shared" si="2"/>
        <v>82.399999999999991</v>
      </c>
    </row>
    <row r="5" spans="1:14" x14ac:dyDescent="0.25">
      <c r="A5" t="s">
        <v>11</v>
      </c>
      <c r="B5" t="s">
        <v>29</v>
      </c>
      <c r="C5" t="s">
        <v>32</v>
      </c>
      <c r="D5">
        <v>1</v>
      </c>
      <c r="E5">
        <v>78</v>
      </c>
      <c r="F5">
        <v>85</v>
      </c>
      <c r="G5">
        <v>78</v>
      </c>
      <c r="H5">
        <v>67</v>
      </c>
      <c r="I5">
        <v>88</v>
      </c>
      <c r="J5">
        <v>90</v>
      </c>
      <c r="K5">
        <f t="shared" si="0"/>
        <v>408</v>
      </c>
      <c r="L5">
        <v>500</v>
      </c>
      <c r="M5" t="str">
        <f t="shared" si="1"/>
        <v>Good</v>
      </c>
      <c r="N5">
        <f t="shared" si="2"/>
        <v>81.599999999999994</v>
      </c>
    </row>
    <row r="6" spans="1:14" x14ac:dyDescent="0.25">
      <c r="A6" t="s">
        <v>12</v>
      </c>
      <c r="B6" t="s">
        <v>28</v>
      </c>
      <c r="C6" t="s">
        <v>33</v>
      </c>
      <c r="D6">
        <v>1</v>
      </c>
      <c r="E6">
        <v>92</v>
      </c>
      <c r="F6">
        <v>46</v>
      </c>
      <c r="G6">
        <v>50</v>
      </c>
      <c r="H6">
        <v>55</v>
      </c>
      <c r="I6">
        <v>54</v>
      </c>
      <c r="J6">
        <v>48</v>
      </c>
      <c r="K6">
        <f t="shared" si="0"/>
        <v>253</v>
      </c>
      <c r="L6">
        <v>500</v>
      </c>
      <c r="M6" t="str">
        <f t="shared" si="1"/>
        <v>Average</v>
      </c>
      <c r="N6">
        <f t="shared" si="2"/>
        <v>50.6</v>
      </c>
    </row>
    <row r="7" spans="1:14" x14ac:dyDescent="0.25">
      <c r="A7" t="s">
        <v>13</v>
      </c>
      <c r="B7" t="s">
        <v>29</v>
      </c>
      <c r="C7" t="s">
        <v>34</v>
      </c>
      <c r="D7">
        <v>1</v>
      </c>
      <c r="E7">
        <v>90</v>
      </c>
      <c r="F7">
        <v>88</v>
      </c>
      <c r="G7">
        <v>76</v>
      </c>
      <c r="H7">
        <v>77</v>
      </c>
      <c r="I7">
        <v>67</v>
      </c>
      <c r="J7">
        <v>65</v>
      </c>
      <c r="K7">
        <f t="shared" si="0"/>
        <v>373</v>
      </c>
      <c r="L7">
        <v>500</v>
      </c>
      <c r="M7" t="str">
        <f t="shared" si="1"/>
        <v>Good</v>
      </c>
      <c r="N7">
        <f t="shared" si="2"/>
        <v>74.599999999999994</v>
      </c>
    </row>
    <row r="8" spans="1:14" x14ac:dyDescent="0.25">
      <c r="A8" t="s">
        <v>14</v>
      </c>
      <c r="B8" t="s">
        <v>28</v>
      </c>
      <c r="C8" t="s">
        <v>31</v>
      </c>
      <c r="D8">
        <v>1</v>
      </c>
      <c r="E8">
        <v>87</v>
      </c>
      <c r="F8">
        <v>79</v>
      </c>
      <c r="G8">
        <v>75</v>
      </c>
      <c r="H8">
        <v>89</v>
      </c>
      <c r="I8">
        <v>91</v>
      </c>
      <c r="J8">
        <v>90</v>
      </c>
      <c r="K8">
        <f t="shared" si="0"/>
        <v>424</v>
      </c>
      <c r="L8">
        <v>500</v>
      </c>
      <c r="M8" t="str">
        <f t="shared" si="1"/>
        <v>Good</v>
      </c>
      <c r="N8">
        <f t="shared" si="2"/>
        <v>84.8</v>
      </c>
    </row>
    <row r="9" spans="1:14" x14ac:dyDescent="0.25">
      <c r="A9" t="s">
        <v>15</v>
      </c>
      <c r="B9" t="s">
        <v>28</v>
      </c>
      <c r="C9" t="s">
        <v>33</v>
      </c>
      <c r="D9">
        <v>1</v>
      </c>
      <c r="E9">
        <v>90</v>
      </c>
      <c r="F9">
        <v>90</v>
      </c>
      <c r="G9">
        <v>87</v>
      </c>
      <c r="H9">
        <v>76</v>
      </c>
      <c r="I9">
        <v>88</v>
      </c>
      <c r="J9">
        <v>78</v>
      </c>
      <c r="K9">
        <f t="shared" si="0"/>
        <v>419</v>
      </c>
      <c r="L9">
        <v>500</v>
      </c>
      <c r="M9" t="str">
        <f t="shared" si="1"/>
        <v>Good</v>
      </c>
      <c r="N9">
        <f t="shared" si="2"/>
        <v>83.8</v>
      </c>
    </row>
    <row r="10" spans="1:14" x14ac:dyDescent="0.25">
      <c r="A10" t="s">
        <v>16</v>
      </c>
      <c r="B10" t="s">
        <v>29</v>
      </c>
      <c r="C10" t="s">
        <v>33</v>
      </c>
      <c r="D10">
        <v>1</v>
      </c>
      <c r="E10">
        <v>78</v>
      </c>
      <c r="F10">
        <v>87</v>
      </c>
      <c r="G10">
        <v>85</v>
      </c>
      <c r="H10">
        <v>78</v>
      </c>
      <c r="I10">
        <v>78</v>
      </c>
      <c r="J10">
        <v>76</v>
      </c>
      <c r="K10">
        <f t="shared" si="0"/>
        <v>404</v>
      </c>
      <c r="L10">
        <v>500</v>
      </c>
      <c r="M10" t="str">
        <f t="shared" si="1"/>
        <v>Good</v>
      </c>
      <c r="N10">
        <f t="shared" si="2"/>
        <v>80.800000000000011</v>
      </c>
    </row>
    <row r="11" spans="1:14" x14ac:dyDescent="0.25">
      <c r="A11" t="s">
        <v>17</v>
      </c>
      <c r="B11" t="s">
        <v>29</v>
      </c>
      <c r="C11" t="s">
        <v>33</v>
      </c>
      <c r="D11">
        <v>1</v>
      </c>
      <c r="E11">
        <v>77</v>
      </c>
      <c r="F11">
        <v>70</v>
      </c>
      <c r="G11">
        <v>50</v>
      </c>
      <c r="H11">
        <v>60</v>
      </c>
      <c r="I11">
        <v>40</v>
      </c>
      <c r="J11">
        <v>65</v>
      </c>
      <c r="K11">
        <f t="shared" si="0"/>
        <v>285</v>
      </c>
      <c r="L11">
        <v>500</v>
      </c>
      <c r="M11" t="str">
        <f t="shared" si="1"/>
        <v>Average</v>
      </c>
      <c r="N11">
        <f t="shared" si="2"/>
        <v>56.999999999999993</v>
      </c>
    </row>
    <row r="12" spans="1:14" x14ac:dyDescent="0.25">
      <c r="A12" t="s">
        <v>18</v>
      </c>
      <c r="B12" t="s">
        <v>28</v>
      </c>
      <c r="C12" t="s">
        <v>34</v>
      </c>
      <c r="D12">
        <v>1</v>
      </c>
      <c r="E12">
        <v>69</v>
      </c>
      <c r="F12">
        <v>85</v>
      </c>
      <c r="G12">
        <v>80</v>
      </c>
      <c r="H12">
        <v>75</v>
      </c>
      <c r="I12">
        <v>77</v>
      </c>
      <c r="J12">
        <v>88</v>
      </c>
      <c r="K12">
        <f t="shared" si="0"/>
        <v>405</v>
      </c>
      <c r="L12">
        <v>500</v>
      </c>
      <c r="M12" t="str">
        <f t="shared" si="1"/>
        <v>Good</v>
      </c>
      <c r="N12">
        <f t="shared" si="2"/>
        <v>81</v>
      </c>
    </row>
    <row r="13" spans="1:14" x14ac:dyDescent="0.25">
      <c r="A13" t="s">
        <v>19</v>
      </c>
      <c r="B13" t="s">
        <v>28</v>
      </c>
      <c r="C13" t="s">
        <v>34</v>
      </c>
      <c r="D13">
        <v>1</v>
      </c>
      <c r="E13">
        <v>85</v>
      </c>
      <c r="F13">
        <v>89</v>
      </c>
      <c r="G13">
        <v>88</v>
      </c>
      <c r="H13">
        <v>86</v>
      </c>
      <c r="I13">
        <v>82</v>
      </c>
      <c r="J13">
        <v>80</v>
      </c>
      <c r="K13">
        <f t="shared" si="0"/>
        <v>425</v>
      </c>
      <c r="L13">
        <v>500</v>
      </c>
      <c r="M13" t="str">
        <f t="shared" si="1"/>
        <v>Good</v>
      </c>
      <c r="N13">
        <f t="shared" si="2"/>
        <v>85</v>
      </c>
    </row>
    <row r="14" spans="1:14" x14ac:dyDescent="0.25">
      <c r="A14" t="s">
        <v>20</v>
      </c>
      <c r="B14" t="s">
        <v>29</v>
      </c>
      <c r="C14" t="s">
        <v>31</v>
      </c>
      <c r="D14">
        <v>1</v>
      </c>
      <c r="E14">
        <v>89</v>
      </c>
      <c r="F14">
        <v>85</v>
      </c>
      <c r="G14">
        <v>88</v>
      </c>
      <c r="H14">
        <v>82</v>
      </c>
      <c r="I14">
        <v>81</v>
      </c>
      <c r="J14">
        <v>90</v>
      </c>
      <c r="K14">
        <f t="shared" si="0"/>
        <v>426</v>
      </c>
      <c r="L14">
        <v>500</v>
      </c>
      <c r="M14" t="str">
        <f t="shared" si="1"/>
        <v>Good</v>
      </c>
      <c r="N14">
        <f t="shared" si="2"/>
        <v>85.2</v>
      </c>
    </row>
    <row r="15" spans="1:14" x14ac:dyDescent="0.25">
      <c r="A15" t="s">
        <v>21</v>
      </c>
      <c r="B15" t="s">
        <v>28</v>
      </c>
      <c r="C15" t="s">
        <v>30</v>
      </c>
      <c r="D15">
        <v>1</v>
      </c>
      <c r="E15">
        <v>79</v>
      </c>
      <c r="F15">
        <v>77</v>
      </c>
      <c r="G15">
        <v>73</v>
      </c>
      <c r="H15">
        <v>75</v>
      </c>
      <c r="I15">
        <v>80</v>
      </c>
      <c r="J15">
        <v>82</v>
      </c>
      <c r="K15">
        <f t="shared" si="0"/>
        <v>387</v>
      </c>
      <c r="L15">
        <v>500</v>
      </c>
      <c r="M15" t="str">
        <f t="shared" si="1"/>
        <v>Good</v>
      </c>
      <c r="N15">
        <f t="shared" si="2"/>
        <v>77.400000000000006</v>
      </c>
    </row>
    <row r="16" spans="1:14" x14ac:dyDescent="0.25">
      <c r="A16" t="s">
        <v>22</v>
      </c>
      <c r="B16" t="s">
        <v>29</v>
      </c>
      <c r="C16" t="s">
        <v>32</v>
      </c>
      <c r="D16">
        <v>1</v>
      </c>
      <c r="E16">
        <v>88</v>
      </c>
      <c r="F16">
        <v>87</v>
      </c>
      <c r="G16">
        <v>85</v>
      </c>
      <c r="H16">
        <v>83</v>
      </c>
      <c r="I16">
        <v>77</v>
      </c>
      <c r="J16">
        <v>78</v>
      </c>
      <c r="K16">
        <f t="shared" si="0"/>
        <v>410</v>
      </c>
      <c r="L16">
        <v>500</v>
      </c>
      <c r="M16" t="str">
        <f t="shared" si="1"/>
        <v>Good</v>
      </c>
      <c r="N16">
        <f t="shared" si="2"/>
        <v>82</v>
      </c>
    </row>
    <row r="17" spans="1:14" x14ac:dyDescent="0.25">
      <c r="A17" t="s">
        <v>23</v>
      </c>
      <c r="B17" t="s">
        <v>29</v>
      </c>
      <c r="C17" t="s">
        <v>32</v>
      </c>
      <c r="D17">
        <v>1</v>
      </c>
      <c r="E17">
        <v>96</v>
      </c>
      <c r="F17">
        <v>90</v>
      </c>
      <c r="G17">
        <v>92</v>
      </c>
      <c r="H17">
        <v>90</v>
      </c>
      <c r="I17">
        <v>91</v>
      </c>
      <c r="J17">
        <v>88</v>
      </c>
      <c r="K17">
        <f t="shared" si="0"/>
        <v>451</v>
      </c>
      <c r="L17">
        <v>500</v>
      </c>
      <c r="M17" t="str">
        <f t="shared" si="1"/>
        <v>Good</v>
      </c>
      <c r="N17">
        <f t="shared" si="2"/>
        <v>90.2</v>
      </c>
    </row>
    <row r="18" spans="1:14" x14ac:dyDescent="0.25">
      <c r="A18" t="s">
        <v>24</v>
      </c>
      <c r="B18" t="s">
        <v>28</v>
      </c>
      <c r="C18" t="s">
        <v>30</v>
      </c>
      <c r="D18">
        <v>1</v>
      </c>
      <c r="E18">
        <v>91</v>
      </c>
      <c r="F18">
        <v>88</v>
      </c>
      <c r="G18">
        <v>87</v>
      </c>
      <c r="H18">
        <v>85</v>
      </c>
      <c r="I18">
        <v>86</v>
      </c>
      <c r="J18">
        <v>82</v>
      </c>
      <c r="K18">
        <f t="shared" si="0"/>
        <v>428</v>
      </c>
      <c r="L18">
        <v>500</v>
      </c>
      <c r="M18" t="str">
        <f t="shared" si="1"/>
        <v>Good</v>
      </c>
      <c r="N18">
        <f t="shared" si="2"/>
        <v>85.6</v>
      </c>
    </row>
    <row r="19" spans="1:14" x14ac:dyDescent="0.25">
      <c r="A19" t="s">
        <v>25</v>
      </c>
      <c r="B19" t="s">
        <v>28</v>
      </c>
      <c r="C19" t="s">
        <v>31</v>
      </c>
      <c r="D19">
        <v>1</v>
      </c>
      <c r="E19">
        <v>79</v>
      </c>
      <c r="F19">
        <v>58</v>
      </c>
      <c r="G19">
        <v>60</v>
      </c>
      <c r="H19">
        <v>65</v>
      </c>
      <c r="I19">
        <v>60</v>
      </c>
      <c r="J19">
        <v>45</v>
      </c>
      <c r="K19">
        <f t="shared" si="0"/>
        <v>288</v>
      </c>
      <c r="L19">
        <v>500</v>
      </c>
      <c r="M19" t="str">
        <f t="shared" si="1"/>
        <v>Average</v>
      </c>
      <c r="N19">
        <f t="shared" si="2"/>
        <v>57.599999999999994</v>
      </c>
    </row>
    <row r="20" spans="1:14" x14ac:dyDescent="0.25">
      <c r="A20" t="s">
        <v>26</v>
      </c>
      <c r="B20" t="s">
        <v>29</v>
      </c>
      <c r="C20" t="s">
        <v>31</v>
      </c>
      <c r="D20">
        <v>1</v>
      </c>
      <c r="E20">
        <v>75</v>
      </c>
      <c r="F20">
        <v>88</v>
      </c>
      <c r="G20">
        <v>85</v>
      </c>
      <c r="H20">
        <v>68</v>
      </c>
      <c r="I20">
        <v>74</v>
      </c>
      <c r="J20">
        <v>78</v>
      </c>
      <c r="K20">
        <f t="shared" si="0"/>
        <v>393</v>
      </c>
      <c r="L20">
        <v>500</v>
      </c>
      <c r="M20" t="str">
        <f t="shared" si="1"/>
        <v>Good</v>
      </c>
      <c r="N20">
        <f t="shared" si="2"/>
        <v>78.600000000000009</v>
      </c>
    </row>
    <row r="21" spans="1:14" x14ac:dyDescent="0.25">
      <c r="A21" t="s">
        <v>27</v>
      </c>
      <c r="B21" t="s">
        <v>29</v>
      </c>
      <c r="C21" t="s">
        <v>31</v>
      </c>
      <c r="D21">
        <v>1</v>
      </c>
      <c r="E21">
        <v>74</v>
      </c>
      <c r="F21">
        <v>88</v>
      </c>
      <c r="G21">
        <v>87</v>
      </c>
      <c r="H21">
        <v>89</v>
      </c>
      <c r="I21">
        <v>76</v>
      </c>
      <c r="J21">
        <v>68</v>
      </c>
      <c r="K21">
        <f t="shared" si="0"/>
        <v>408</v>
      </c>
      <c r="L21">
        <v>500</v>
      </c>
      <c r="M21" t="str">
        <f t="shared" si="1"/>
        <v>Good</v>
      </c>
      <c r="N21">
        <f t="shared" si="2"/>
        <v>81.599999999999994</v>
      </c>
    </row>
    <row r="22" spans="1:14" x14ac:dyDescent="0.25">
      <c r="E22" t="s">
        <v>49</v>
      </c>
      <c r="M22" t="s">
        <v>48</v>
      </c>
    </row>
    <row r="24" spans="1:14" x14ac:dyDescent="0.25">
      <c r="N24" s="1"/>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31"/>
  <sheetViews>
    <sheetView tabSelected="1" topLeftCell="A27" workbookViewId="0">
      <selection activeCell="F39" sqref="F39"/>
    </sheetView>
  </sheetViews>
  <sheetFormatPr defaultRowHeight="15" x14ac:dyDescent="0.25"/>
  <sheetData>
    <row r="31" spans="6:6" x14ac:dyDescent="0.25">
      <c r="F31" t="str">
        <f>Table1[[#Totals],[Attendance %]]</f>
        <v>82.3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2026-01-19T10:45:16Z</dcterms:created>
  <dcterms:modified xsi:type="dcterms:W3CDTF">2026-02-04T15:54:29Z</dcterms:modified>
</cp:coreProperties>
</file>